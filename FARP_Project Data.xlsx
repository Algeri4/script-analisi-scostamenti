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tente\Desktop\Nicola\UNIBG\Sistemi di controllo di gestione\script analisi scostamenti\"/>
    </mc:Choice>
  </mc:AlternateContent>
  <xr:revisionPtr revIDLastSave="0" documentId="13_ncr:1_{E0FFBC9B-9E37-48E4-BB53-5B58EF49F813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CE 21-22" sheetId="3" r:id="rId1"/>
    <sheet name="Ricavi" sheetId="1" r:id="rId2"/>
    <sheet name="VariableCosts" sheetId="4" r:id="rId3"/>
    <sheet name="FixedCosts" sheetId="5" r:id="rId4"/>
    <sheet name="Others" sheetId="6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7" i="1" l="1"/>
  <c r="H76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4" i="1"/>
  <c r="G15" i="3"/>
  <c r="G78" i="1"/>
  <c r="G79" i="1"/>
  <c r="G77" i="1"/>
  <c r="E4" i="1"/>
  <c r="C46" i="3"/>
  <c r="C41" i="3"/>
  <c r="C37" i="3"/>
  <c r="C32" i="3"/>
  <c r="C28" i="3"/>
  <c r="C20" i="3"/>
  <c r="C17" i="3"/>
  <c r="C13" i="3"/>
  <c r="C10" i="3"/>
  <c r="H4" i="1" l="1"/>
  <c r="C21" i="3"/>
  <c r="C33" i="3" s="1"/>
  <c r="C38" i="3" s="1"/>
  <c r="C42" i="3" s="1"/>
  <c r="C47" i="3" s="1"/>
  <c r="C49" i="3" s="1"/>
  <c r="F37" i="3" l="1"/>
  <c r="F32" i="3"/>
  <c r="F28" i="3"/>
  <c r="F20" i="3"/>
  <c r="F17" i="3"/>
  <c r="F79" i="1" l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1" i="1"/>
  <c r="F40" i="1"/>
  <c r="F38" i="1"/>
  <c r="F36" i="1"/>
  <c r="F35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</calcChain>
</file>

<file path=xl/sharedStrings.xml><?xml version="1.0" encoding="utf-8"?>
<sst xmlns="http://schemas.openxmlformats.org/spreadsheetml/2006/main" count="458" uniqueCount="195">
  <si>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</si>
  <si>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</si>
  <si>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</si>
  <si>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</si>
  <si>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</si>
  <si>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</si>
  <si>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</si>
  <si>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</si>
  <si>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</si>
  <si>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</si>
  <si>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</si>
  <si>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</si>
  <si>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</si>
  <si>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</si>
  <si>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</si>
  <si>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</si>
  <si>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</si>
  <si>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</si>
  <si>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</si>
  <si>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</si>
  <si>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</si>
  <si>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</si>
  <si>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</si>
  <si>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</si>
  <si>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</si>
  <si>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</si>
  <si>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</si>
  <si>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</si>
  <si>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</si>
  <si>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</si>
  <si>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</si>
  <si>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</si>
  <si>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</si>
  <si>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</si>
  <si>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</si>
  <si>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</si>
  <si>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</si>
  <si>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</si>
  <si>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</si>
  <si>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</si>
  <si>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</si>
  <si>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</si>
  <si>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</si>
  <si>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</si>
  <si>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</si>
  <si>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</si>
  <si>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</si>
  <si>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</si>
  <si>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</si>
  <si>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</si>
  <si>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</si>
  <si>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</si>
  <si>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</si>
  <si>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</si>
  <si>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</si>
  <si>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</si>
  <si>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</si>
  <si>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</si>
  <si>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</si>
  <si>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</si>
  <si>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</si>
  <si>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</si>
  <si>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</si>
  <si>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</si>
  <si>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</si>
  <si>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</si>
  <si>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</si>
  <si>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</si>
  <si>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</si>
  <si>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</si>
  <si>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</si>
  <si>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</si>
  <si>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</si>
  <si>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</si>
  <si>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</si>
  <si>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</si>
  <si>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</si>
  <si>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</si>
  <si>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</si>
  <si>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</si>
  <si>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</si>
  <si>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</si>
  <si>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</si>
  <si>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</si>
  <si>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</si>
  <si>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</si>
  <si>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</si>
  <si>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</si>
  <si>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</si>
  <si>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</si>
  <si>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</si>
  <si>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</si>
  <si>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</si>
  <si>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</si>
  <si>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</si>
  <si>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</si>
  <si>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</si>
  <si>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</si>
  <si>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</si>
  <si>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</si>
  <si>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</si>
  <si>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</si>
  <si>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</si>
  <si>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</si>
  <si>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</si>
  <si>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</si>
  <si>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</si>
  <si>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</si>
  <si>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</si>
  <si>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</si>
  <si>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</si>
  <si>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</si>
  <si>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</si>
  <si>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</si>
  <si>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</si>
  <si>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</si>
  <si>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</si>
  <si>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</si>
  <si>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</si>
  <si>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</si>
  <si>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</si>
  <si>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</si>
  <si>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</si>
  <si>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</si>
  <si>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</si>
  <si>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</si>
  <si>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</si>
  <si>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</si>
  <si>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</si>
  <si>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</si>
  <si>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</si>
  <si>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</si>
  <si>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</si>
  <si>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</si>
  <si>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</si>
  <si>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</si>
  <si>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</si>
  <si>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</si>
  <si>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</si>
  <si>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</si>
  <si>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</si>
  <si>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</si>
  <si>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</si>
  <si>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</si>
  <si>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</si>
  <si>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</si>
  <si>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</si>
  <si>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</si>
  <si>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</si>
  <si>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</si>
  <si>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</si>
  <si>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</si>
  <si>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</si>
  <si>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</si>
  <si>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</si>
  <si>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</si>
  <si>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</si>
  <si>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</si>
  <si>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</si>
  <si>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</si>
  <si>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</si>
  <si>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</si>
  <si>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</si>
  <si>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</si>
  <si>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</si>
  <si>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</si>
  <si>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</si>
  <si>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</si>
  <si>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</si>
  <si>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</si>
  <si>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</si>
  <si>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</si>
  <si>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</si>
  <si>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</si>
  <si>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</si>
  <si>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</si>
  <si>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</si>
  <si>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</si>
  <si>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</si>
  <si>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</si>
  <si>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</si>
  <si>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</si>
  <si>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</si>
  <si>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</si>
  <si>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</si>
  <si>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</si>
  <si>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</si>
  <si>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</si>
  <si>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</si>
  <si>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</si>
  <si>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</si>
  <si>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</si>
  <si>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2, come mai le materie nel budget sono diverse da eulle del consuntivo</t>
  </si>
  <si>
    <t>qta</t>
  </si>
  <si>
    <t>€/qta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</si>
</sst>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2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169" fontId="23" fillId="0" borderId="18" xfId="2" applyNumberFormat="1" applyFont="1" applyBorder="1" applyAlignment="1">
      <alignment horizontal="right" vertical="center"/>
    </xf>
    <xf numFmtId="0" fontId="24" fillId="0" borderId="0" xfId="0" applyFont="1"/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 refreshError="1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J62"/>
  <sheetViews>
    <sheetView showGridLines="0" topLeftCell="A2" zoomScale="92" zoomScaleNormal="90" workbookViewId="0">
      <selection activeCell="F19" sqref="F19"/>
    </sheetView>
  </sheetViews>
  <sheetFormatPr defaultColWidth="8.88671875" defaultRowHeight="14.4" x14ac:dyDescent="0.3"/>
  <cols>
    <col min="1" max="1" width="2.88671875" style="1" customWidth="1"/>
    <col min="2" max="2" width="45.44140625" style="1" bestFit="1" customWidth="1"/>
    <col min="3" max="3" width="12.88671875" style="1" bestFit="1" customWidth="1"/>
    <col min="4" max="4" width="13.6640625" style="1" bestFit="1" customWidth="1"/>
    <col min="5" max="5" width="45.44140625" style="1" bestFit="1" customWidth="1"/>
    <col min="6" max="6" width="12.88671875" style="1" bestFit="1" customWidth="1"/>
    <col min="7" max="7" width="13.6640625" style="1" customWidth="1"/>
    <col min="8" max="16384" width="8.88671875" style="1"/>
  </cols>
  <sheetData>
    <row r="1" spans="2:10" ht="16.2" customHeight="1" thickBot="1" x14ac:dyDescent="0.35"/>
    <row r="2" spans="2:10" ht="18.600000000000001" thickBot="1" x14ac:dyDescent="0.35">
      <c r="B2" s="88" t="s">
        <v>139</v>
      </c>
      <c r="C2" s="89"/>
      <c r="E2" s="88" t="s">
        <v>139</v>
      </c>
      <c r="F2" s="89"/>
    </row>
    <row r="3" spans="2:10" x14ac:dyDescent="0.3">
      <c r="B3" s="86" t="s">
        <v>169</v>
      </c>
      <c r="C3" s="42" t="s">
        <v>65</v>
      </c>
      <c r="E3" s="90" t="s">
        <v>170</v>
      </c>
      <c r="F3" s="80" t="s">
        <v>65</v>
      </c>
    </row>
    <row r="4" spans="2:10" x14ac:dyDescent="0.3">
      <c r="B4" s="87"/>
      <c r="C4" s="43" t="s">
        <v>66</v>
      </c>
      <c r="E4" s="87"/>
      <c r="F4" s="43" t="s">
        <v>66</v>
      </c>
      <c r="J4" s="1" t="s">
        <v>191</v>
      </c>
    </row>
    <row r="5" spans="2:10" x14ac:dyDescent="0.3">
      <c r="B5" s="44" t="s">
        <v>67</v>
      </c>
      <c r="C5" s="85">
        <v>61294659.022799999</v>
      </c>
      <c r="E5" s="44"/>
      <c r="F5" s="45"/>
      <c r="J5" s="1" t="s">
        <v>192</v>
      </c>
    </row>
    <row r="6" spans="2:10" x14ac:dyDescent="0.3">
      <c r="B6" s="46" t="s">
        <v>137</v>
      </c>
      <c r="C6" s="84">
        <v>528226.62545000005</v>
      </c>
      <c r="E6" s="46"/>
      <c r="F6" s="45"/>
    </row>
    <row r="7" spans="2:10" x14ac:dyDescent="0.3">
      <c r="B7" s="44" t="s">
        <v>138</v>
      </c>
      <c r="C7" s="84">
        <v>1877590.3519999997</v>
      </c>
      <c r="E7" s="44"/>
      <c r="F7" s="45"/>
    </row>
    <row r="8" spans="2:10" x14ac:dyDescent="0.3">
      <c r="B8" s="44" t="s">
        <v>68</v>
      </c>
      <c r="C8" s="100">
        <v>120000</v>
      </c>
      <c r="E8" s="44"/>
      <c r="F8" s="45"/>
    </row>
    <row r="9" spans="2:10" x14ac:dyDescent="0.3">
      <c r="B9" s="44" t="s">
        <v>69</v>
      </c>
      <c r="C9" s="100">
        <v>500000</v>
      </c>
      <c r="E9" s="44"/>
      <c r="F9" s="45"/>
    </row>
    <row r="10" spans="2:10" x14ac:dyDescent="0.3">
      <c r="B10" s="47" t="s">
        <v>70</v>
      </c>
      <c r="C10" s="48">
        <f>+SUM(C5:C9)</f>
        <v>64320476.000249997</v>
      </c>
      <c r="D10" s="27"/>
      <c r="E10" s="47"/>
      <c r="F10" s="48"/>
    </row>
    <row r="11" spans="2:10" x14ac:dyDescent="0.3">
      <c r="B11" s="44" t="s">
        <v>71</v>
      </c>
      <c r="C11" s="98">
        <v>-49370805.517265007</v>
      </c>
      <c r="E11" s="44"/>
      <c r="F11" s="45"/>
    </row>
    <row r="12" spans="2:10" x14ac:dyDescent="0.3">
      <c r="B12" s="44" t="s">
        <v>72</v>
      </c>
      <c r="C12" s="97">
        <v>2500000</v>
      </c>
      <c r="E12" s="44"/>
      <c r="F12" s="45"/>
    </row>
    <row r="13" spans="2:10" x14ac:dyDescent="0.3">
      <c r="B13" s="47" t="s">
        <v>73</v>
      </c>
      <c r="C13" s="99">
        <f>+C11+C12</f>
        <v>-46870805.517265007</v>
      </c>
      <c r="E13" s="47"/>
      <c r="F13" s="48"/>
    </row>
    <row r="14" spans="2:10" x14ac:dyDescent="0.3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</row>
    <row r="15" spans="2:10" x14ac:dyDescent="0.3">
      <c r="B15" s="44" t="s">
        <v>75</v>
      </c>
      <c r="C15" s="45">
        <v>-175000</v>
      </c>
      <c r="D15" s="27"/>
      <c r="E15" s="44" t="s">
        <v>75</v>
      </c>
      <c r="F15" s="45">
        <v>-150000</v>
      </c>
      <c r="G15" s="1">
        <f>150*1.025</f>
        <v>153.75</v>
      </c>
    </row>
    <row r="16" spans="2:10" x14ac:dyDescent="0.3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3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3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3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" thickBot="1" x14ac:dyDescent="0.35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" thickBot="1" x14ac:dyDescent="0.35">
      <c r="B21" s="49" t="s">
        <v>81</v>
      </c>
      <c r="C21" s="50">
        <f>+C10+C13+C17+C20</f>
        <v>11052003.037815414</v>
      </c>
      <c r="E21" s="49"/>
      <c r="F21" s="50"/>
    </row>
    <row r="22" spans="2:6" x14ac:dyDescent="0.3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3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3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3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3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3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3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3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3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3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" thickBot="1" x14ac:dyDescent="0.35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" thickBot="1" x14ac:dyDescent="0.35">
      <c r="B33" s="51" t="s">
        <v>93</v>
      </c>
      <c r="C33" s="52">
        <f>+C21+C28+C32</f>
        <v>2384503.0378154144</v>
      </c>
      <c r="E33" s="51"/>
      <c r="F33" s="52"/>
    </row>
    <row r="34" spans="2:7" x14ac:dyDescent="0.3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3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3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" thickBot="1" x14ac:dyDescent="0.35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" thickBot="1" x14ac:dyDescent="0.35">
      <c r="B38" s="49" t="s">
        <v>98</v>
      </c>
      <c r="C38" s="50">
        <f>+C33+C37</f>
        <v>1359503.0378154144</v>
      </c>
      <c r="E38" s="28"/>
    </row>
    <row r="39" spans="2:7" x14ac:dyDescent="0.3">
      <c r="B39" s="44" t="s">
        <v>99</v>
      </c>
      <c r="C39" s="45">
        <v>-140133.03999999998</v>
      </c>
      <c r="E39" s="28"/>
    </row>
    <row r="40" spans="2:7" x14ac:dyDescent="0.3">
      <c r="B40" s="44" t="s">
        <v>100</v>
      </c>
      <c r="C40" s="45">
        <v>3543.6200000000003</v>
      </c>
      <c r="E40" s="28"/>
    </row>
    <row r="41" spans="2:7" ht="15" thickBot="1" x14ac:dyDescent="0.35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" thickBot="1" x14ac:dyDescent="0.35">
      <c r="B42" s="49" t="s">
        <v>102</v>
      </c>
      <c r="C42" s="50">
        <f>+C38+C41</f>
        <v>1222913.6178154144</v>
      </c>
      <c r="E42" s="28"/>
    </row>
    <row r="43" spans="2:7" x14ac:dyDescent="0.3">
      <c r="B43" s="44" t="s">
        <v>103</v>
      </c>
      <c r="C43" s="45">
        <v>-130503.97</v>
      </c>
      <c r="E43" s="28"/>
    </row>
    <row r="44" spans="2:7" x14ac:dyDescent="0.3">
      <c r="B44" s="44" t="s">
        <v>104</v>
      </c>
      <c r="C44" s="45">
        <v>0</v>
      </c>
      <c r="E44" s="28"/>
    </row>
    <row r="45" spans="2:7" x14ac:dyDescent="0.3">
      <c r="B45" s="44" t="s">
        <v>105</v>
      </c>
      <c r="C45" s="45">
        <v>0</v>
      </c>
      <c r="E45" s="28"/>
    </row>
    <row r="46" spans="2:7" ht="15" thickBot="1" x14ac:dyDescent="0.35">
      <c r="B46" s="47" t="s">
        <v>106</v>
      </c>
      <c r="C46" s="48">
        <f>SUM(C43:C45)</f>
        <v>-130503.97</v>
      </c>
      <c r="E46" s="28"/>
    </row>
    <row r="47" spans="2:7" ht="15" thickBot="1" x14ac:dyDescent="0.35">
      <c r="B47" s="49" t="s">
        <v>107</v>
      </c>
      <c r="C47" s="50">
        <f>+C46+C42</f>
        <v>1092409.6478154145</v>
      </c>
      <c r="E47" s="28"/>
    </row>
    <row r="48" spans="2:7" ht="15" thickBot="1" x14ac:dyDescent="0.35">
      <c r="B48" s="44" t="s">
        <v>108</v>
      </c>
      <c r="C48" s="45">
        <v>-327722.8943446154</v>
      </c>
      <c r="E48" s="28"/>
    </row>
    <row r="49" spans="2:6" ht="15" thickBot="1" x14ac:dyDescent="0.35">
      <c r="B49" s="49" t="s">
        <v>109</v>
      </c>
      <c r="C49" s="50">
        <f>+C48+C47</f>
        <v>764686.75347079907</v>
      </c>
      <c r="E49" s="28"/>
    </row>
    <row r="50" spans="2:6" x14ac:dyDescent="0.3">
      <c r="B50" s="28"/>
      <c r="E50" s="28"/>
    </row>
    <row r="51" spans="2:6" x14ac:dyDescent="0.3">
      <c r="B51" s="28"/>
      <c r="E51" s="28"/>
    </row>
    <row r="52" spans="2:6" x14ac:dyDescent="0.3">
      <c r="B52" s="28"/>
      <c r="E52" s="28"/>
    </row>
    <row r="53" spans="2:6" x14ac:dyDescent="0.3">
      <c r="B53" s="28"/>
      <c r="E53" s="28"/>
    </row>
    <row r="54" spans="2:6" x14ac:dyDescent="0.3">
      <c r="B54" s="28"/>
      <c r="E54" s="28"/>
    </row>
    <row r="55" spans="2:6" x14ac:dyDescent="0.3">
      <c r="B55" s="28"/>
      <c r="E55" s="28"/>
    </row>
    <row r="56" spans="2:6" x14ac:dyDescent="0.3">
      <c r="B56" s="28"/>
      <c r="E56" s="28"/>
    </row>
    <row r="57" spans="2:6" x14ac:dyDescent="0.3">
      <c r="B57" s="28"/>
      <c r="C57" s="29"/>
      <c r="E57" s="28"/>
      <c r="F57" s="29"/>
    </row>
    <row r="58" spans="2:6" x14ac:dyDescent="0.3">
      <c r="B58" s="28"/>
      <c r="E58" s="28"/>
    </row>
    <row r="59" spans="2:6" x14ac:dyDescent="0.3">
      <c r="B59" s="28"/>
      <c r="E59" s="28"/>
    </row>
    <row r="60" spans="2:6" x14ac:dyDescent="0.3">
      <c r="B60" s="28"/>
      <c r="C60" s="29"/>
      <c r="E60" s="28"/>
      <c r="F60" s="29"/>
    </row>
    <row r="61" spans="2:6" x14ac:dyDescent="0.3">
      <c r="B61" s="28"/>
      <c r="E61" s="28"/>
    </row>
    <row r="62" spans="2:6" x14ac:dyDescent="0.3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3"/>
  <sheetViews>
    <sheetView showGridLines="0" tabSelected="1" zoomScale="93" workbookViewId="0">
      <selection activeCell="A12" sqref="A12"/>
    </sheetView>
  </sheetViews>
  <sheetFormatPr defaultColWidth="8.88671875" defaultRowHeight="14.4" x14ac:dyDescent="0.3"/>
  <cols>
    <col min="1" max="1" width="2.88671875" style="1" customWidth="1"/>
    <col min="2" max="2" width="14.21875" style="1" customWidth="1"/>
    <col min="3" max="3" width="8.5546875" style="1" bestFit="1" customWidth="1"/>
    <col min="4" max="4" width="11.33203125" style="1" bestFit="1" customWidth="1"/>
    <col min="5" max="5" width="12.5546875" style="1" bestFit="1" customWidth="1"/>
    <col min="6" max="6" width="16" style="1" bestFit="1" customWidth="1"/>
    <col min="7" max="7" width="14.5546875" style="1" bestFit="1" customWidth="1"/>
    <col min="8" max="8" width="14.6640625" style="1" bestFit="1" customWidth="1"/>
    <col min="9" max="9" width="11.77734375" style="1" bestFit="1" customWidth="1"/>
    <col min="10" max="10" width="13.88671875" style="1" bestFit="1" customWidth="1"/>
    <col min="11" max="11" width="13.88671875" style="1" customWidth="1"/>
    <col min="12" max="12" width="12.88671875" style="1" bestFit="1" customWidth="1"/>
    <col min="13" max="13" width="12.6640625" style="1" bestFit="1" customWidth="1"/>
    <col min="14" max="14" width="12.6640625" style="1" customWidth="1"/>
    <col min="15" max="15" width="15.5546875" style="1" bestFit="1" customWidth="1"/>
    <col min="16" max="16" width="15.44140625" style="1" bestFit="1" customWidth="1"/>
    <col min="17" max="17" width="18" style="1" bestFit="1" customWidth="1"/>
    <col min="18" max="16384" width="8.88671875" style="1"/>
  </cols>
  <sheetData>
    <row r="1" spans="1:17" ht="15.6" customHeight="1" thickBot="1" x14ac:dyDescent="0.35"/>
    <row r="2" spans="1:17" ht="15" thickBot="1" x14ac:dyDescent="0.35">
      <c r="B2" s="91" t="s">
        <v>162</v>
      </c>
      <c r="C2" s="92"/>
      <c r="D2" s="92"/>
      <c r="E2" s="92"/>
      <c r="F2" s="93"/>
      <c r="H2" s="59"/>
      <c r="J2" s="91" t="s">
        <v>64</v>
      </c>
      <c r="K2" s="92"/>
      <c r="L2" s="92"/>
      <c r="M2" s="92"/>
      <c r="N2" s="92"/>
      <c r="O2" s="92"/>
      <c r="P2" s="92"/>
      <c r="Q2" s="93"/>
    </row>
    <row r="3" spans="1:17" ht="15" thickBot="1" x14ac:dyDescent="0.35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7" x14ac:dyDescent="0.3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>
        <f>SUM(_xlfn.ANCHORARRAY(G4))</f>
        <v>140</v>
      </c>
      <c r="J4" s="78" t="s">
        <v>0</v>
      </c>
      <c r="K4" s="64" t="s">
        <v>115</v>
      </c>
      <c r="L4" s="65">
        <v>48000</v>
      </c>
      <c r="M4" s="66">
        <v>0.93</v>
      </c>
      <c r="N4" s="66"/>
      <c r="O4" s="64"/>
      <c r="P4" s="67">
        <v>0.65100000000000002</v>
      </c>
      <c r="Q4" s="74" t="s">
        <v>157</v>
      </c>
    </row>
    <row r="5" spans="1:17" x14ac:dyDescent="0.3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P5" s="61">
        <v>2.8</v>
      </c>
      <c r="Q5" s="75" t="s">
        <v>157</v>
      </c>
    </row>
    <row r="6" spans="1:17" x14ac:dyDescent="0.3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P6" s="61">
        <v>1.68</v>
      </c>
      <c r="Q6" s="75" t="s">
        <v>157</v>
      </c>
    </row>
    <row r="7" spans="1:17" x14ac:dyDescent="0.3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P7" s="61">
        <v>2.8</v>
      </c>
      <c r="Q7" s="75" t="s">
        <v>157</v>
      </c>
    </row>
    <row r="8" spans="1:17" x14ac:dyDescent="0.3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P8" s="61">
        <v>2.0340909090909087</v>
      </c>
      <c r="Q8" s="75" t="s">
        <v>157</v>
      </c>
    </row>
    <row r="9" spans="1:17" x14ac:dyDescent="0.3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P9" s="61">
        <v>3.08</v>
      </c>
      <c r="Q9" s="75" t="s">
        <v>157</v>
      </c>
    </row>
    <row r="10" spans="1:17" x14ac:dyDescent="0.3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P10" s="61">
        <v>3.234</v>
      </c>
      <c r="Q10" s="75" t="s">
        <v>157</v>
      </c>
    </row>
    <row r="11" spans="1:17" x14ac:dyDescent="0.3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P11" s="61">
        <v>1.8549999999999998</v>
      </c>
      <c r="Q11" s="75" t="s">
        <v>157</v>
      </c>
    </row>
    <row r="12" spans="1:17" x14ac:dyDescent="0.3">
      <c r="A12" s="101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</row>
    <row r="13" spans="1:17" x14ac:dyDescent="0.3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</row>
    <row r="14" spans="1:17" x14ac:dyDescent="0.3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</row>
    <row r="15" spans="1:17" x14ac:dyDescent="0.3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</row>
    <row r="16" spans="1:17" x14ac:dyDescent="0.3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</row>
    <row r="17" spans="2:17" ht="15" thickBot="1" x14ac:dyDescent="0.35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</row>
    <row r="18" spans="2:17" x14ac:dyDescent="0.3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</row>
    <row r="19" spans="2:17" x14ac:dyDescent="0.3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</row>
    <row r="20" spans="2:17" x14ac:dyDescent="0.3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</row>
    <row r="21" spans="2:17" x14ac:dyDescent="0.3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</row>
    <row r="22" spans="2:17" ht="15" thickBot="1" x14ac:dyDescent="0.35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</row>
    <row r="23" spans="2:17" x14ac:dyDescent="0.3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</row>
    <row r="24" spans="2:17" x14ac:dyDescent="0.3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</row>
    <row r="25" spans="2:17" x14ac:dyDescent="0.3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</row>
    <row r="26" spans="2:17" x14ac:dyDescent="0.3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</row>
    <row r="27" spans="2:17" x14ac:dyDescent="0.3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N27" s="38">
        <v>3.1455040077726499</v>
      </c>
      <c r="O27" s="61">
        <v>2.1592931114889486</v>
      </c>
      <c r="P27" s="38"/>
      <c r="Q27" s="62"/>
    </row>
    <row r="28" spans="2:17" x14ac:dyDescent="0.3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N28" s="38">
        <v>3.2309226464791676</v>
      </c>
      <c r="O28" s="61">
        <v>2.2976852023348089</v>
      </c>
      <c r="P28" s="38"/>
      <c r="Q28" s="62"/>
    </row>
    <row r="29" spans="2:17" x14ac:dyDescent="0.3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</row>
    <row r="30" spans="2:17" x14ac:dyDescent="0.3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</row>
    <row r="31" spans="2:17" x14ac:dyDescent="0.3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</row>
    <row r="32" spans="2:17" x14ac:dyDescent="0.3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</row>
    <row r="33" spans="2:17" x14ac:dyDescent="0.3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</row>
    <row r="34" spans="2:17" x14ac:dyDescent="0.3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</row>
    <row r="35" spans="2:17" x14ac:dyDescent="0.3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</row>
    <row r="36" spans="2:17" x14ac:dyDescent="0.3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</row>
    <row r="37" spans="2:17" x14ac:dyDescent="0.3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</row>
    <row r="38" spans="2:17" x14ac:dyDescent="0.3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</row>
    <row r="39" spans="2:17" x14ac:dyDescent="0.3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</row>
    <row r="40" spans="2:17" x14ac:dyDescent="0.3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N40" s="38">
        <v>1.0577817766055582</v>
      </c>
      <c r="O40" s="61">
        <v>0.75997644847791901</v>
      </c>
      <c r="P40" s="38"/>
      <c r="Q40" s="62"/>
    </row>
    <row r="41" spans="2:17" x14ac:dyDescent="0.3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N41" s="38">
        <v>1.3885714285714286</v>
      </c>
      <c r="O41" s="61">
        <v>1.1206985714285713</v>
      </c>
      <c r="P41" s="38"/>
      <c r="Q41" s="62"/>
    </row>
    <row r="42" spans="2:17" x14ac:dyDescent="0.3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N42" s="38">
        <v>1.2710189203018307</v>
      </c>
      <c r="O42" s="61">
        <v>0.99127780878556027</v>
      </c>
      <c r="P42" s="38"/>
      <c r="Q42" s="62"/>
    </row>
    <row r="43" spans="2:17" x14ac:dyDescent="0.3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N43" s="38">
        <v>1.2715834980237153</v>
      </c>
      <c r="O43" s="61">
        <v>0.96538828063241089</v>
      </c>
      <c r="P43" s="38"/>
      <c r="Q43" s="62"/>
    </row>
    <row r="44" spans="2:17" x14ac:dyDescent="0.3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</row>
    <row r="45" spans="2:17" x14ac:dyDescent="0.3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</row>
    <row r="46" spans="2:17" x14ac:dyDescent="0.3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</row>
    <row r="47" spans="2:17" x14ac:dyDescent="0.3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</row>
    <row r="48" spans="2:17" x14ac:dyDescent="0.3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</row>
    <row r="49" spans="2:17" x14ac:dyDescent="0.3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N49" s="38">
        <v>1.6654747185837797</v>
      </c>
      <c r="O49" s="61">
        <v>1.3105806561670159</v>
      </c>
      <c r="P49" s="38"/>
      <c r="Q49" s="62"/>
    </row>
    <row r="50" spans="2:17" x14ac:dyDescent="0.3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N50" s="38">
        <v>1.5856043557168784</v>
      </c>
      <c r="O50" s="61">
        <v>1.1837239694062742</v>
      </c>
      <c r="P50" s="38"/>
      <c r="Q50" s="62"/>
    </row>
    <row r="51" spans="2:17" x14ac:dyDescent="0.3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N51" s="38">
        <v>1.7306324058919802</v>
      </c>
      <c r="O51" s="61">
        <v>1.2825347995090015</v>
      </c>
      <c r="P51" s="38"/>
      <c r="Q51" s="62"/>
    </row>
    <row r="52" spans="2:17" x14ac:dyDescent="0.3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</row>
    <row r="53" spans="2:17" x14ac:dyDescent="0.3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</row>
    <row r="54" spans="2:17" x14ac:dyDescent="0.3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</row>
    <row r="55" spans="2:17" x14ac:dyDescent="0.3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</row>
    <row r="56" spans="2:17" x14ac:dyDescent="0.3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</row>
    <row r="57" spans="2:17" x14ac:dyDescent="0.3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</row>
    <row r="58" spans="2:17" x14ac:dyDescent="0.3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</row>
    <row r="59" spans="2:17" x14ac:dyDescent="0.3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</row>
    <row r="60" spans="2:17" x14ac:dyDescent="0.3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</row>
    <row r="61" spans="2:17" x14ac:dyDescent="0.3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</row>
    <row r="62" spans="2:17" x14ac:dyDescent="0.3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</row>
    <row r="63" spans="2:17" x14ac:dyDescent="0.3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</row>
    <row r="64" spans="2:17" x14ac:dyDescent="0.3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</row>
    <row r="65" spans="2:17" x14ac:dyDescent="0.3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" thickBot="1" x14ac:dyDescent="0.35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3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3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3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</row>
    <row r="70" spans="2:17" x14ac:dyDescent="0.3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</row>
    <row r="71" spans="2:17" x14ac:dyDescent="0.3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3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3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3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3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</row>
    <row r="76" spans="2:17" x14ac:dyDescent="0.3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>
        <f>SUM(G4:G76)</f>
        <v>46870805.517265007</v>
      </c>
      <c r="I76" s="11">
        <v>2500000</v>
      </c>
      <c r="P76"/>
      <c r="Q76"/>
    </row>
    <row r="77" spans="2:17" x14ac:dyDescent="0.3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/>
      <c r="I77" s="11">
        <f>SUM(H76:I76)</f>
        <v>49370805.517265007</v>
      </c>
      <c r="P77"/>
      <c r="Q77"/>
    </row>
    <row r="78" spans="2:17" x14ac:dyDescent="0.3">
      <c r="B78" s="35" t="s">
        <v>154</v>
      </c>
      <c r="C78" s="1" t="s">
        <v>118</v>
      </c>
      <c r="D78" s="37">
        <v>-15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-297524.28999999998</v>
      </c>
      <c r="H78" s="37"/>
      <c r="P78"/>
      <c r="Q78"/>
    </row>
    <row r="79" spans="2:17" ht="15" thickBot="1" x14ac:dyDescent="0.35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3">
      <c r="D80" s="1" t="s">
        <v>193</v>
      </c>
      <c r="E80" s="1" t="s">
        <v>194</v>
      </c>
      <c r="G80" s="2"/>
      <c r="H80" s="2"/>
    </row>
    <row r="81" spans="2:8" x14ac:dyDescent="0.3">
      <c r="B81" s="1" t="s">
        <v>152</v>
      </c>
    </row>
    <row r="82" spans="2:8" x14ac:dyDescent="0.3">
      <c r="B82" s="1" t="s">
        <v>153</v>
      </c>
      <c r="H82" s="2"/>
    </row>
    <row r="83" spans="2:8" x14ac:dyDescent="0.3">
      <c r="B83" s="1" t="s">
        <v>155</v>
      </c>
      <c r="H83" s="2"/>
    </row>
  </sheetData>
  <mergeCells count="2">
    <mergeCell ref="B2:F2"/>
    <mergeCell ref="J2:Q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showGridLines="0" topLeftCell="B1" zoomScaleNormal="90" workbookViewId="0">
      <selection activeCell="N19" sqref="N19"/>
    </sheetView>
  </sheetViews>
  <sheetFormatPr defaultColWidth="9.33203125" defaultRowHeight="14.4" x14ac:dyDescent="0.3"/>
  <cols>
    <col min="1" max="1" width="2.88671875" style="3" customWidth="1"/>
    <col min="2" max="2" width="62.33203125" style="8" customWidth="1"/>
    <col min="3" max="3" width="23.5546875" style="3" bestFit="1" customWidth="1"/>
    <col min="4" max="14" width="10.5546875" style="3" customWidth="1"/>
    <col min="15" max="15" width="12.44140625" style="3" bestFit="1" customWidth="1"/>
    <col min="16" max="16" width="11.5546875" style="3" customWidth="1"/>
    <col min="17" max="16384" width="9.33203125" style="3"/>
  </cols>
  <sheetData>
    <row r="1" spans="2:16" ht="15.6" customHeight="1" thickBot="1" x14ac:dyDescent="0.35"/>
    <row r="2" spans="2:16" ht="15" thickBot="1" x14ac:dyDescent="0.35">
      <c r="B2" s="94" t="s">
        <v>134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6"/>
    </row>
    <row r="3" spans="2:16" x14ac:dyDescent="0.25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3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5.6" x14ac:dyDescent="0.3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3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3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3">
      <c r="B8" s="17" t="s">
        <v>113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3">
      <c r="B9" s="19" t="s">
        <v>167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3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3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3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3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3">
      <c r="B14" s="21"/>
      <c r="O14" s="23"/>
    </row>
    <row r="15" spans="2:16" x14ac:dyDescent="0.3">
      <c r="B15" s="21" t="s">
        <v>165</v>
      </c>
      <c r="O15" s="23"/>
    </row>
    <row r="16" spans="2:16" x14ac:dyDescent="0.3">
      <c r="B16" s="14" t="s">
        <v>183</v>
      </c>
      <c r="O16" s="23"/>
    </row>
    <row r="17" spans="2:15" x14ac:dyDescent="0.3">
      <c r="B17" s="21" t="s">
        <v>174</v>
      </c>
      <c r="N17" s="3" t="s">
        <v>185</v>
      </c>
      <c r="O17" s="23"/>
    </row>
    <row r="18" spans="2:15" x14ac:dyDescent="0.3">
      <c r="B18" s="21" t="s">
        <v>166</v>
      </c>
      <c r="O18" s="23"/>
    </row>
    <row r="19" spans="2:15" x14ac:dyDescent="0.3">
      <c r="B19" s="21" t="s">
        <v>182</v>
      </c>
      <c r="O19" s="23"/>
    </row>
    <row r="20" spans="2:15" x14ac:dyDescent="0.3">
      <c r="B20" s="21" t="s">
        <v>181</v>
      </c>
      <c r="O20" s="23"/>
    </row>
    <row r="21" spans="2:15" x14ac:dyDescent="0.3">
      <c r="B21" s="21"/>
      <c r="O21" s="23"/>
    </row>
    <row r="22" spans="2:15" x14ac:dyDescent="0.3">
      <c r="B22" s="12" t="s">
        <v>75</v>
      </c>
      <c r="O22" s="23"/>
    </row>
    <row r="23" spans="2:15" x14ac:dyDescent="0.3">
      <c r="B23" s="21" t="s">
        <v>171</v>
      </c>
      <c r="O23" s="23"/>
    </row>
    <row r="24" spans="2:15" x14ac:dyDescent="0.3">
      <c r="B24" s="21"/>
      <c r="O24" s="23"/>
    </row>
    <row r="25" spans="2:15" x14ac:dyDescent="0.3">
      <c r="B25" s="12" t="s">
        <v>76</v>
      </c>
      <c r="O25" s="23"/>
    </row>
    <row r="26" spans="2:15" x14ac:dyDescent="0.3">
      <c r="B26" s="21" t="s">
        <v>175</v>
      </c>
      <c r="O26" s="23"/>
    </row>
    <row r="27" spans="2:15" x14ac:dyDescent="0.3">
      <c r="B27" s="21"/>
      <c r="O27" s="23"/>
    </row>
    <row r="28" spans="2:15" x14ac:dyDescent="0.3">
      <c r="B28" s="12" t="s">
        <v>122</v>
      </c>
      <c r="O28" s="23"/>
    </row>
    <row r="29" spans="2:15" x14ac:dyDescent="0.3">
      <c r="B29" s="21" t="s">
        <v>161</v>
      </c>
      <c r="O29" s="23"/>
    </row>
    <row r="30" spans="2:15" x14ac:dyDescent="0.3">
      <c r="B30" s="21" t="s">
        <v>173</v>
      </c>
      <c r="O30" s="23"/>
    </row>
    <row r="31" spans="2:15" x14ac:dyDescent="0.3">
      <c r="B31" s="21" t="s">
        <v>123</v>
      </c>
      <c r="O31" s="23"/>
    </row>
    <row r="32" spans="2:15" x14ac:dyDescent="0.3">
      <c r="B32" s="21"/>
      <c r="O32" s="23"/>
    </row>
    <row r="33" spans="2:15" x14ac:dyDescent="0.3">
      <c r="B33" s="12" t="s">
        <v>121</v>
      </c>
      <c r="O33" s="23"/>
    </row>
    <row r="34" spans="2:15" ht="15" thickBot="1" x14ac:dyDescent="0.35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showGridLines="0" zoomScale="90" zoomScaleNormal="90" workbookViewId="0">
      <selection activeCell="B4" sqref="B4"/>
    </sheetView>
  </sheetViews>
  <sheetFormatPr defaultColWidth="8.88671875" defaultRowHeight="14.4" x14ac:dyDescent="0.3"/>
  <cols>
    <col min="1" max="1" width="2.6640625" style="1" customWidth="1"/>
    <col min="2" max="2" width="123.33203125" style="1" bestFit="1" customWidth="1"/>
    <col min="3" max="16384" width="8.88671875" style="1"/>
  </cols>
  <sheetData>
    <row r="1" spans="2:2" ht="15" thickBot="1" x14ac:dyDescent="0.35"/>
    <row r="2" spans="2:2" ht="15" thickBot="1" x14ac:dyDescent="0.35">
      <c r="B2" s="41" t="s">
        <v>135</v>
      </c>
    </row>
    <row r="3" spans="2:2" x14ac:dyDescent="0.3">
      <c r="B3" s="76" t="s">
        <v>82</v>
      </c>
    </row>
    <row r="4" spans="2:2" x14ac:dyDescent="0.3">
      <c r="B4" s="33" t="s">
        <v>168</v>
      </c>
    </row>
    <row r="5" spans="2:2" x14ac:dyDescent="0.3">
      <c r="B5" s="33"/>
    </row>
    <row r="6" spans="2:2" x14ac:dyDescent="0.3">
      <c r="B6" s="76" t="s">
        <v>83</v>
      </c>
    </row>
    <row r="7" spans="2:2" x14ac:dyDescent="0.3">
      <c r="B7" s="33" t="s">
        <v>126</v>
      </c>
    </row>
    <row r="8" spans="2:2" x14ac:dyDescent="0.3">
      <c r="B8" s="33"/>
    </row>
    <row r="9" spans="2:2" x14ac:dyDescent="0.3">
      <c r="B9" s="76" t="s">
        <v>84</v>
      </c>
    </row>
    <row r="10" spans="2:2" x14ac:dyDescent="0.3">
      <c r="B10" s="32" t="s">
        <v>128</v>
      </c>
    </row>
    <row r="11" spans="2:2" x14ac:dyDescent="0.3">
      <c r="B11" s="32"/>
    </row>
    <row r="12" spans="2:2" x14ac:dyDescent="0.3">
      <c r="B12" s="76" t="s">
        <v>85</v>
      </c>
    </row>
    <row r="13" spans="2:2" x14ac:dyDescent="0.3">
      <c r="B13" s="32" t="s">
        <v>128</v>
      </c>
    </row>
    <row r="14" spans="2:2" x14ac:dyDescent="0.3">
      <c r="B14" s="33"/>
    </row>
    <row r="15" spans="2:2" x14ac:dyDescent="0.3">
      <c r="B15" s="76" t="s">
        <v>86</v>
      </c>
    </row>
    <row r="16" spans="2:2" x14ac:dyDescent="0.3">
      <c r="B16" s="32" t="s">
        <v>128</v>
      </c>
    </row>
    <row r="17" spans="2:2" x14ac:dyDescent="0.3">
      <c r="B17" s="33"/>
    </row>
    <row r="18" spans="2:2" x14ac:dyDescent="0.3">
      <c r="B18" s="76" t="s">
        <v>87</v>
      </c>
    </row>
    <row r="19" spans="2:2" x14ac:dyDescent="0.3">
      <c r="B19" s="32" t="s">
        <v>128</v>
      </c>
    </row>
    <row r="20" spans="2:2" x14ac:dyDescent="0.3">
      <c r="B20" s="77"/>
    </row>
    <row r="21" spans="2:2" x14ac:dyDescent="0.3">
      <c r="B21" s="76" t="s">
        <v>89</v>
      </c>
    </row>
    <row r="22" spans="2:2" x14ac:dyDescent="0.3">
      <c r="B22" s="32" t="s">
        <v>128</v>
      </c>
    </row>
    <row r="23" spans="2:2" x14ac:dyDescent="0.3">
      <c r="B23" s="33"/>
    </row>
    <row r="24" spans="2:2" x14ac:dyDescent="0.3">
      <c r="B24" s="76" t="s">
        <v>90</v>
      </c>
    </row>
    <row r="25" spans="2:2" x14ac:dyDescent="0.3">
      <c r="B25" s="32" t="s">
        <v>128</v>
      </c>
    </row>
    <row r="26" spans="2:2" x14ac:dyDescent="0.3">
      <c r="B26" s="33"/>
    </row>
    <row r="27" spans="2:2" x14ac:dyDescent="0.3">
      <c r="B27" s="76" t="s">
        <v>91</v>
      </c>
    </row>
    <row r="28" spans="2:2" ht="15" thickBot="1" x14ac:dyDescent="0.35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showGridLines="0" zoomScale="90" zoomScaleNormal="90" workbookViewId="0">
      <selection activeCell="B29" sqref="B29"/>
    </sheetView>
  </sheetViews>
  <sheetFormatPr defaultColWidth="8.88671875" defaultRowHeight="14.4" x14ac:dyDescent="0.3"/>
  <cols>
    <col min="1" max="1" width="2.88671875" style="1" customWidth="1"/>
    <col min="2" max="2" width="70.44140625" style="1" bestFit="1" customWidth="1"/>
    <col min="3" max="16384" width="8.88671875" style="1"/>
  </cols>
  <sheetData>
    <row r="1" spans="2:9" ht="15" thickBot="1" x14ac:dyDescent="0.35"/>
    <row r="2" spans="2:9" ht="15" thickBot="1" x14ac:dyDescent="0.35">
      <c r="B2" s="41" t="s">
        <v>136</v>
      </c>
    </row>
    <row r="3" spans="2:9" x14ac:dyDescent="0.3">
      <c r="B3" s="31" t="s">
        <v>94</v>
      </c>
    </row>
    <row r="4" spans="2:9" x14ac:dyDescent="0.3">
      <c r="B4" s="32" t="s">
        <v>176</v>
      </c>
      <c r="C4" s="1" t="s">
        <v>186</v>
      </c>
    </row>
    <row r="5" spans="2:9" x14ac:dyDescent="0.3">
      <c r="B5" s="32"/>
      <c r="C5" s="1" t="s">
        <v>187</v>
      </c>
    </row>
    <row r="6" spans="2:9" x14ac:dyDescent="0.3">
      <c r="B6" s="31" t="s">
        <v>95</v>
      </c>
      <c r="C6" s="1" t="s">
        <v>188</v>
      </c>
    </row>
    <row r="7" spans="2:9" x14ac:dyDescent="0.3">
      <c r="B7" s="32" t="s">
        <v>127</v>
      </c>
    </row>
    <row r="8" spans="2:9" x14ac:dyDescent="0.3">
      <c r="B8" s="32"/>
    </row>
    <row r="9" spans="2:9" x14ac:dyDescent="0.3">
      <c r="B9" s="31" t="s">
        <v>96</v>
      </c>
    </row>
    <row r="10" spans="2:9" x14ac:dyDescent="0.3">
      <c r="B10" s="33" t="s">
        <v>130</v>
      </c>
    </row>
    <row r="11" spans="2:9" x14ac:dyDescent="0.3">
      <c r="B11" s="33"/>
    </row>
    <row r="12" spans="2:9" x14ac:dyDescent="0.3">
      <c r="B12" s="31" t="s">
        <v>99</v>
      </c>
    </row>
    <row r="13" spans="2:9" x14ac:dyDescent="0.3">
      <c r="B13" s="32" t="s">
        <v>160</v>
      </c>
      <c r="C13" s="1" t="s">
        <v>189</v>
      </c>
      <c r="I13" s="1" t="s">
        <v>190</v>
      </c>
    </row>
    <row r="14" spans="2:9" x14ac:dyDescent="0.3">
      <c r="B14" s="32"/>
    </row>
    <row r="15" spans="2:9" x14ac:dyDescent="0.3">
      <c r="B15" s="31" t="s">
        <v>100</v>
      </c>
    </row>
    <row r="16" spans="2:9" x14ac:dyDescent="0.3">
      <c r="B16" s="32" t="s">
        <v>131</v>
      </c>
    </row>
    <row r="17" spans="2:2" x14ac:dyDescent="0.3">
      <c r="B17" s="32"/>
    </row>
    <row r="18" spans="2:2" x14ac:dyDescent="0.3">
      <c r="B18" s="31" t="s">
        <v>103</v>
      </c>
    </row>
    <row r="19" spans="2:2" x14ac:dyDescent="0.3">
      <c r="B19" s="32" t="s">
        <v>132</v>
      </c>
    </row>
    <row r="20" spans="2:2" x14ac:dyDescent="0.3">
      <c r="B20" s="32"/>
    </row>
    <row r="21" spans="2:2" x14ac:dyDescent="0.3">
      <c r="B21" s="31" t="s">
        <v>104</v>
      </c>
    </row>
    <row r="22" spans="2:2" x14ac:dyDescent="0.3">
      <c r="B22" s="32" t="s">
        <v>133</v>
      </c>
    </row>
    <row r="23" spans="2:2" x14ac:dyDescent="0.3">
      <c r="B23" s="32"/>
    </row>
    <row r="24" spans="2:2" x14ac:dyDescent="0.3">
      <c r="B24" s="31" t="s">
        <v>105</v>
      </c>
    </row>
    <row r="25" spans="2:2" x14ac:dyDescent="0.3">
      <c r="B25" s="33" t="s">
        <v>129</v>
      </c>
    </row>
    <row r="26" spans="2:2" x14ac:dyDescent="0.3">
      <c r="B26" s="33"/>
    </row>
    <row r="27" spans="2:2" x14ac:dyDescent="0.3">
      <c r="B27" s="31" t="s">
        <v>108</v>
      </c>
    </row>
    <row r="28" spans="2:2" ht="15" thickBot="1" x14ac:dyDescent="0.35">
      <c r="B28" s="34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CE 21-22</vt:lpstr>
      <vt:lpstr>Ricavi</vt:lpstr>
      <vt:lpstr>VariableCosts</vt:lpstr>
      <vt:lpstr>FixedCosts</vt:lpstr>
      <vt:lpstr>Others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NICOLA ALGERI</cp:lastModifiedBy>
  <dcterms:created xsi:type="dcterms:W3CDTF">2015-06-05T18:19:34Z</dcterms:created>
  <dcterms:modified xsi:type="dcterms:W3CDTF">2025-12-05T11:30:46Z</dcterms:modified>
</cp:coreProperties>
</file>