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Nicola\UNIBG\Sistemi di controllo di gestione\script analisi scostamenti\"/>
    </mc:Choice>
  </mc:AlternateContent>
  <xr:revisionPtr revIDLastSave="0" documentId="13_ncr:1_{A44576B7-5623-4E05-9EA2-6A1BFA96B076}" xr6:coauthVersionLast="47" xr6:coauthVersionMax="47" xr10:uidLastSave="{00000000-0000-0000-0000-000000000000}"/>
  <bookViews>
    <workbookView xWindow="-108" yWindow="-108" windowWidth="23256" windowHeight="12576" tabRatio="675" firstSheet="1" activeTab="9" xr2:uid="{47D82A9E-1214-4F6E-A405-C3A19453CBD3}"/>
  </bookViews>
  <sheets>
    <sheet name="CE 21-22" sheetId="3" r:id="rId1"/>
    <sheet name="Ricavi" sheetId="1" r:id="rId2"/>
    <sheet name="RicaviBudget" sheetId="7" state="hidden" r:id="rId3"/>
    <sheet name="VariableCosts" sheetId="4" r:id="rId4"/>
    <sheet name="VariableCostsBudget" sheetId="8" r:id="rId5"/>
    <sheet name="FixedCosts" sheetId="5" state="hidden" r:id="rId6"/>
    <sheet name="FixedCostsBudget" sheetId="9" r:id="rId7"/>
    <sheet name="Others" sheetId="6" state="hidden" r:id="rId8"/>
    <sheet name="OthersBudget" sheetId="10" state="hidden" r:id="rId9"/>
    <sheet name="Analisi degli scostamenti" sheetId="12" r:id="rId10"/>
    <sheet name="CE Budget 2022" sheetId="11" r:id="rId11"/>
    <sheet name="VariableCostsC" sheetId="13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6" i="12" l="1"/>
  <c r="F56" i="12"/>
  <c r="E56" i="12"/>
  <c r="D56" i="12"/>
  <c r="F52" i="12"/>
  <c r="G52" i="12" s="1"/>
  <c r="D47" i="12"/>
  <c r="D50" i="12" a="1"/>
  <c r="D50" i="12" s="1"/>
  <c r="D48" i="12"/>
  <c r="F47" i="12"/>
  <c r="Q94" i="1"/>
  <c r="F27" i="12"/>
  <c r="C47" i="12" a="1"/>
  <c r="C47" i="12" s="1"/>
  <c r="F42" i="12"/>
  <c r="G42" i="12" s="1"/>
  <c r="F31" i="12"/>
  <c r="F30" i="12"/>
  <c r="F29" i="12"/>
  <c r="G29" i="12" s="1"/>
  <c r="F28" i="12"/>
  <c r="G28" i="12"/>
  <c r="G31" i="12"/>
  <c r="G30" i="12"/>
  <c r="G27" i="12"/>
  <c r="G25" i="12"/>
  <c r="E27" i="12"/>
  <c r="E28" i="12"/>
  <c r="E29" i="12"/>
  <c r="E30" i="12"/>
  <c r="E31" i="12"/>
  <c r="D28" i="12"/>
  <c r="D29" i="12"/>
  <c r="D30" i="12"/>
  <c r="D31" i="12"/>
  <c r="D27" i="12"/>
  <c r="C28" i="12"/>
  <c r="C29" i="12"/>
  <c r="C30" i="12"/>
  <c r="C31" i="12"/>
  <c r="C27" i="12"/>
  <c r="D4" i="12" a="1"/>
  <c r="D4" i="12" s="1"/>
  <c r="C33" i="12" s="1"/>
  <c r="F96" i="12"/>
  <c r="F93" i="12"/>
  <c r="F94" i="12"/>
  <c r="F92" i="12"/>
  <c r="F90" i="12"/>
  <c r="F88" i="12"/>
  <c r="F87" i="12"/>
  <c r="F84" i="12"/>
  <c r="F81" i="12"/>
  <c r="F82" i="12"/>
  <c r="F80" i="12"/>
  <c r="F77" i="12"/>
  <c r="F74" i="12"/>
  <c r="F75" i="12"/>
  <c r="F73" i="12"/>
  <c r="G73" i="12" s="1"/>
  <c r="F71" i="12"/>
  <c r="F65" i="12"/>
  <c r="F66" i="12"/>
  <c r="F67" i="12"/>
  <c r="F68" i="12"/>
  <c r="F69" i="12"/>
  <c r="G69" i="12" s="1"/>
  <c r="F64" i="12"/>
  <c r="F61" i="12"/>
  <c r="G14" i="13"/>
  <c r="F59" i="12" s="1"/>
  <c r="G59" i="12" s="1"/>
  <c r="F58" i="12"/>
  <c r="G58" i="12" s="1"/>
  <c r="F54" i="12"/>
  <c r="F53" i="12"/>
  <c r="F5" i="13"/>
  <c r="F6" i="13"/>
  <c r="F4" i="13"/>
  <c r="G98" i="12"/>
  <c r="G96" i="12"/>
  <c r="G94" i="12"/>
  <c r="G93" i="12"/>
  <c r="G92" i="12"/>
  <c r="G90" i="12"/>
  <c r="G88" i="12"/>
  <c r="G87" i="12"/>
  <c r="G86" i="12"/>
  <c r="G84" i="12"/>
  <c r="G82" i="12"/>
  <c r="G81" i="12"/>
  <c r="G80" i="12"/>
  <c r="G79" i="12"/>
  <c r="G77" i="12"/>
  <c r="G75" i="12"/>
  <c r="G74" i="12"/>
  <c r="G71" i="12"/>
  <c r="G68" i="12"/>
  <c r="G67" i="12"/>
  <c r="G66" i="12"/>
  <c r="G65" i="12"/>
  <c r="G64" i="12"/>
  <c r="G61" i="12"/>
  <c r="G54" i="12"/>
  <c r="G53" i="12"/>
  <c r="G48" i="12"/>
  <c r="G41" i="12"/>
  <c r="G43" i="12"/>
  <c r="G39" i="12"/>
  <c r="G34" i="12"/>
  <c r="G35" i="12"/>
  <c r="G36" i="12"/>
  <c r="G37" i="12"/>
  <c r="F50" i="12"/>
  <c r="F41" i="12"/>
  <c r="F40" i="12"/>
  <c r="F39" i="12"/>
  <c r="F34" i="12"/>
  <c r="F35" i="12"/>
  <c r="F36" i="12"/>
  <c r="F37" i="12"/>
  <c r="F33" i="12"/>
  <c r="O98" i="1"/>
  <c r="O97" i="1"/>
  <c r="Q97" i="1" s="1"/>
  <c r="O96" i="1"/>
  <c r="O95" i="1"/>
  <c r="O94" i="1"/>
  <c r="K98" i="1"/>
  <c r="K97" i="1"/>
  <c r="M97" i="1" s="1"/>
  <c r="K96" i="1"/>
  <c r="K95" i="1"/>
  <c r="M95" i="1" s="1"/>
  <c r="K94" i="1"/>
  <c r="M94" i="1" s="1"/>
  <c r="Q98" i="1"/>
  <c r="M98" i="1"/>
  <c r="Q96" i="1"/>
  <c r="M96" i="1"/>
  <c r="Q95" i="1"/>
  <c r="Q89" i="1"/>
  <c r="Q90" i="1"/>
  <c r="Q91" i="1"/>
  <c r="Q92" i="1"/>
  <c r="Q88" i="1"/>
  <c r="O92" i="1"/>
  <c r="O91" i="1"/>
  <c r="O90" i="1"/>
  <c r="O89" i="1"/>
  <c r="O88" i="1"/>
  <c r="M89" i="1"/>
  <c r="M90" i="1"/>
  <c r="M91" i="1"/>
  <c r="M92" i="1"/>
  <c r="K92" i="1"/>
  <c r="K91" i="1"/>
  <c r="K90" i="1"/>
  <c r="K89" i="1"/>
  <c r="M88" i="1"/>
  <c r="K88" i="1"/>
  <c r="D42" i="12"/>
  <c r="D77" i="12"/>
  <c r="D71" i="12"/>
  <c r="D11" i="12"/>
  <c r="D12" i="12"/>
  <c r="D13" i="12"/>
  <c r="D14" i="12"/>
  <c r="D10" i="12"/>
  <c r="C14" i="12"/>
  <c r="C13" i="12"/>
  <c r="C12" i="12"/>
  <c r="C11" i="12"/>
  <c r="C10" i="12"/>
  <c r="I98" i="1" a="1"/>
  <c r="I98" i="1" s="1"/>
  <c r="I97" i="1" a="1"/>
  <c r="I97" i="1" s="1"/>
  <c r="I96" i="1" a="1"/>
  <c r="I96" i="1" s="1"/>
  <c r="I95" i="1" a="1"/>
  <c r="I95" i="1" s="1"/>
  <c r="I94" i="1" a="1"/>
  <c r="I94" i="1" s="1"/>
  <c r="F98" i="1" a="1"/>
  <c r="F98" i="1"/>
  <c r="F97" i="1" a="1"/>
  <c r="F97" i="1" s="1"/>
  <c r="F96" i="1" a="1"/>
  <c r="F96" i="1" s="1"/>
  <c r="F95" i="1" a="1"/>
  <c r="F95" i="1" s="1"/>
  <c r="F94" i="1" a="1"/>
  <c r="F94" i="1" s="1"/>
  <c r="C98" i="1"/>
  <c r="C97" i="1"/>
  <c r="C96" i="1"/>
  <c r="C95" i="1"/>
  <c r="C94" i="1"/>
  <c r="I92" i="1" a="1"/>
  <c r="I92" i="1" s="1"/>
  <c r="I91" i="1" a="1"/>
  <c r="I91" i="1" s="1"/>
  <c r="I90" i="1" a="1"/>
  <c r="I90" i="1" s="1"/>
  <c r="I89" i="1" a="1"/>
  <c r="I89" i="1" s="1"/>
  <c r="I88" i="1" a="1"/>
  <c r="I88" i="1" s="1"/>
  <c r="F92" i="1" a="1"/>
  <c r="F92" i="1" s="1"/>
  <c r="F91" i="1" a="1"/>
  <c r="F91" i="1" s="1"/>
  <c r="F90" i="1" a="1"/>
  <c r="F90" i="1" s="1"/>
  <c r="F89" i="1" a="1"/>
  <c r="F89" i="1" s="1"/>
  <c r="F88" i="1" a="1"/>
  <c r="F88" i="1" s="1"/>
  <c r="C92" i="1"/>
  <c r="C91" i="1"/>
  <c r="C90" i="1"/>
  <c r="C89" i="1"/>
  <c r="C88" i="1"/>
  <c r="C5" i="10"/>
  <c r="C81" i="12" s="1"/>
  <c r="C9" i="10"/>
  <c r="C87" i="12" s="1"/>
  <c r="D64" i="12"/>
  <c r="D65" i="12"/>
  <c r="D66" i="12"/>
  <c r="D67" i="12"/>
  <c r="D68" i="12"/>
  <c r="D69" i="12"/>
  <c r="D73" i="12"/>
  <c r="D74" i="12"/>
  <c r="D75" i="12"/>
  <c r="D80" i="12"/>
  <c r="D81" i="12"/>
  <c r="D82" i="12"/>
  <c r="D84" i="12"/>
  <c r="D85" i="12"/>
  <c r="D87" i="12"/>
  <c r="D88" i="12"/>
  <c r="D90" i="12"/>
  <c r="D91" i="12"/>
  <c r="D92" i="12"/>
  <c r="D93" i="12"/>
  <c r="D94" i="12"/>
  <c r="D96" i="12"/>
  <c r="D97" i="12"/>
  <c r="D99" i="12"/>
  <c r="D101" i="12"/>
  <c r="E43" i="12"/>
  <c r="E48" i="12"/>
  <c r="D52" i="12"/>
  <c r="C36" i="13"/>
  <c r="C29" i="13"/>
  <c r="C30" i="13" s="1"/>
  <c r="C28" i="13"/>
  <c r="C27" i="13"/>
  <c r="C26" i="13"/>
  <c r="C23" i="13"/>
  <c r="C21" i="13"/>
  <c r="C20" i="13"/>
  <c r="G11" i="13"/>
  <c r="C4" i="13"/>
  <c r="C2" i="13"/>
  <c r="C9" i="13" s="1"/>
  <c r="C12" i="13" s="1"/>
  <c r="C18" i="13" s="1"/>
  <c r="C94" i="12"/>
  <c r="C93" i="12"/>
  <c r="C92" i="12"/>
  <c r="C88" i="12"/>
  <c r="C82" i="12"/>
  <c r="C80" i="12"/>
  <c r="C75" i="12"/>
  <c r="C74" i="12"/>
  <c r="C73" i="12"/>
  <c r="C69" i="12"/>
  <c r="C68" i="12"/>
  <c r="C67" i="12"/>
  <c r="C66" i="12"/>
  <c r="C65" i="12"/>
  <c r="C64" i="12"/>
  <c r="C53" i="12"/>
  <c r="E53" i="12" s="1"/>
  <c r="C42" i="12"/>
  <c r="D37" i="12" a="1"/>
  <c r="D37" i="12" s="1"/>
  <c r="D36" i="12" a="1"/>
  <c r="D36" i="12" s="1"/>
  <c r="D35" i="12" a="1"/>
  <c r="D35" i="12" s="1"/>
  <c r="D34" i="12" a="1"/>
  <c r="D34" i="12" s="1"/>
  <c r="D41" i="12" s="1"/>
  <c r="D33" i="12" a="1"/>
  <c r="D33" i="12" s="1"/>
  <c r="D40" i="12" s="1"/>
  <c r="D25" i="12"/>
  <c r="D24" i="12"/>
  <c r="D22" i="12"/>
  <c r="D21" i="12"/>
  <c r="D23" i="12"/>
  <c r="D8" i="12" a="1"/>
  <c r="D8" i="12" s="1"/>
  <c r="C37" i="12" s="1"/>
  <c r="D7" i="12" a="1"/>
  <c r="D7" i="12" s="1"/>
  <c r="C36" i="12" s="1"/>
  <c r="D6" i="12" a="1"/>
  <c r="D6" i="12" s="1"/>
  <c r="C35" i="12" s="1"/>
  <c r="D5" i="12" a="1"/>
  <c r="D5" i="12" s="1"/>
  <c r="C34" i="12" s="1"/>
  <c r="C41" i="12" s="1"/>
  <c r="G47" i="12" l="1"/>
  <c r="F45" i="12"/>
  <c r="F63" i="12" s="1"/>
  <c r="F78" i="12" s="1"/>
  <c r="F85" i="12" s="1"/>
  <c r="F91" i="12" s="1"/>
  <c r="F97" i="12" s="1"/>
  <c r="C40" i="12"/>
  <c r="G40" i="12" s="1"/>
  <c r="G33" i="12"/>
  <c r="C18" i="12"/>
  <c r="E64" i="12"/>
  <c r="E93" i="12"/>
  <c r="D16" i="12"/>
  <c r="E80" i="12"/>
  <c r="E82" i="12"/>
  <c r="C90" i="12"/>
  <c r="E90" i="12" s="1"/>
  <c r="E88" i="12"/>
  <c r="E73" i="12"/>
  <c r="E92" i="12"/>
  <c r="E42" i="12"/>
  <c r="E81" i="12"/>
  <c r="E65" i="12"/>
  <c r="C84" i="12"/>
  <c r="E84" i="12" s="1"/>
  <c r="E94" i="12"/>
  <c r="E75" i="12"/>
  <c r="E74" i="12"/>
  <c r="E87" i="12"/>
  <c r="E69" i="12"/>
  <c r="E68" i="12"/>
  <c r="E67" i="12"/>
  <c r="C77" i="12"/>
  <c r="E77" i="12" s="1"/>
  <c r="E66" i="12"/>
  <c r="C96" i="12"/>
  <c r="E96" i="12" s="1"/>
  <c r="E41" i="12"/>
  <c r="C71" i="12"/>
  <c r="E71" i="12" s="1"/>
  <c r="C8" i="13"/>
  <c r="C11" i="13" s="1"/>
  <c r="C17" i="13" s="1"/>
  <c r="C39" i="12"/>
  <c r="E37" i="12"/>
  <c r="E33" i="12"/>
  <c r="E34" i="12"/>
  <c r="E35" i="12"/>
  <c r="D39" i="12"/>
  <c r="E36" i="12"/>
  <c r="F99" i="12" l="1"/>
  <c r="G99" i="12" s="1"/>
  <c r="E40" i="12"/>
  <c r="C45" i="12"/>
  <c r="G45" i="12" s="1"/>
  <c r="D45" i="12"/>
  <c r="D78" i="12" s="1"/>
  <c r="E39" i="12"/>
  <c r="F101" i="12" l="1"/>
  <c r="D63" i="12"/>
  <c r="E45" i="12"/>
  <c r="F3" i="7"/>
  <c r="C3" i="7"/>
  <c r="D3" i="7"/>
  <c r="E3" i="7"/>
  <c r="C4" i="7"/>
  <c r="D4" i="7"/>
  <c r="E4" i="7"/>
  <c r="C5" i="7"/>
  <c r="D5" i="7"/>
  <c r="E5" i="7"/>
  <c r="C6" i="7"/>
  <c r="D6" i="7"/>
  <c r="E6" i="7"/>
  <c r="C7" i="7"/>
  <c r="D7" i="7"/>
  <c r="E7" i="7"/>
  <c r="C8" i="7"/>
  <c r="D8" i="7"/>
  <c r="E8" i="7"/>
  <c r="C9" i="7"/>
  <c r="D9" i="7"/>
  <c r="E9" i="7"/>
  <c r="C10" i="7"/>
  <c r="D10" i="7"/>
  <c r="E10" i="7"/>
  <c r="C11" i="7"/>
  <c r="D11" i="7"/>
  <c r="E11" i="7"/>
  <c r="C12" i="7"/>
  <c r="D12" i="7"/>
  <c r="E12" i="7"/>
  <c r="C13" i="7"/>
  <c r="D13" i="7"/>
  <c r="E13" i="7"/>
  <c r="C14" i="7"/>
  <c r="D14" i="7"/>
  <c r="E14" i="7"/>
  <c r="C15" i="7"/>
  <c r="D15" i="7"/>
  <c r="E15" i="7"/>
  <c r="C16" i="7"/>
  <c r="D16" i="7"/>
  <c r="E16" i="7"/>
  <c r="C17" i="7"/>
  <c r="D17" i="7"/>
  <c r="E17" i="7"/>
  <c r="C18" i="7"/>
  <c r="D18" i="7"/>
  <c r="E18" i="7"/>
  <c r="C19" i="7"/>
  <c r="D19" i="7"/>
  <c r="E19" i="7"/>
  <c r="C20" i="7"/>
  <c r="D20" i="7"/>
  <c r="E20" i="7"/>
  <c r="C21" i="7"/>
  <c r="D21" i="7"/>
  <c r="E21" i="7"/>
  <c r="C22" i="7"/>
  <c r="D22" i="7"/>
  <c r="E22" i="7"/>
  <c r="C23" i="7"/>
  <c r="D23" i="7"/>
  <c r="E23" i="7"/>
  <c r="C24" i="7"/>
  <c r="D24" i="7"/>
  <c r="E24" i="7"/>
  <c r="C25" i="7"/>
  <c r="D25" i="7"/>
  <c r="E25" i="7"/>
  <c r="C26" i="7"/>
  <c r="D26" i="7"/>
  <c r="E26" i="7"/>
  <c r="C27" i="7"/>
  <c r="D27" i="7"/>
  <c r="E27" i="7"/>
  <c r="C28" i="7"/>
  <c r="D28" i="7"/>
  <c r="E28" i="7"/>
  <c r="C29" i="7"/>
  <c r="D29" i="7"/>
  <c r="E29" i="7"/>
  <c r="C30" i="7"/>
  <c r="D30" i="7"/>
  <c r="E30" i="7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9" i="7"/>
  <c r="D39" i="7"/>
  <c r="E39" i="7"/>
  <c r="C40" i="7"/>
  <c r="D40" i="7"/>
  <c r="E40" i="7"/>
  <c r="C41" i="7"/>
  <c r="D41" i="7"/>
  <c r="E41" i="7"/>
  <c r="C42" i="7"/>
  <c r="D42" i="7"/>
  <c r="E42" i="7"/>
  <c r="C43" i="7"/>
  <c r="D43" i="7"/>
  <c r="E43" i="7"/>
  <c r="C44" i="7"/>
  <c r="D44" i="7"/>
  <c r="E44" i="7"/>
  <c r="C45" i="7"/>
  <c r="D45" i="7"/>
  <c r="E45" i="7"/>
  <c r="C46" i="7"/>
  <c r="D46" i="7"/>
  <c r="E46" i="7"/>
  <c r="C47" i="7"/>
  <c r="D47" i="7"/>
  <c r="E47" i="7"/>
  <c r="C48" i="7"/>
  <c r="D48" i="7"/>
  <c r="E48" i="7"/>
  <c r="C49" i="7"/>
  <c r="D49" i="7"/>
  <c r="E49" i="7"/>
  <c r="C50" i="7"/>
  <c r="D50" i="7"/>
  <c r="E50" i="7"/>
  <c r="C51" i="7"/>
  <c r="D51" i="7"/>
  <c r="E51" i="7"/>
  <c r="C52" i="7"/>
  <c r="D52" i="7"/>
  <c r="E52" i="7"/>
  <c r="C53" i="7"/>
  <c r="D53" i="7"/>
  <c r="E53" i="7"/>
  <c r="C54" i="7"/>
  <c r="D54" i="7"/>
  <c r="E54" i="7"/>
  <c r="C55" i="7"/>
  <c r="D55" i="7"/>
  <c r="E55" i="7"/>
  <c r="C56" i="7"/>
  <c r="D56" i="7"/>
  <c r="E56" i="7"/>
  <c r="C57" i="7"/>
  <c r="D57" i="7"/>
  <c r="E57" i="7"/>
  <c r="C58" i="7"/>
  <c r="D58" i="7"/>
  <c r="E58" i="7"/>
  <c r="C59" i="7"/>
  <c r="D59" i="7"/>
  <c r="E59" i="7"/>
  <c r="C60" i="7"/>
  <c r="D60" i="7"/>
  <c r="E60" i="7"/>
  <c r="C61" i="7"/>
  <c r="D61" i="7"/>
  <c r="E61" i="7"/>
  <c r="C62" i="7"/>
  <c r="D62" i="7"/>
  <c r="E62" i="7"/>
  <c r="C63" i="7"/>
  <c r="D63" i="7"/>
  <c r="E63" i="7"/>
  <c r="C64" i="7"/>
  <c r="D64" i="7"/>
  <c r="C65" i="7"/>
  <c r="D65" i="7"/>
  <c r="E65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3" i="7"/>
  <c r="C2" i="8"/>
  <c r="C36" i="11"/>
  <c r="D36" i="11" s="1"/>
  <c r="C35" i="11"/>
  <c r="D35" i="11" s="1"/>
  <c r="C34" i="11"/>
  <c r="D34" i="11" s="1"/>
  <c r="C31" i="11"/>
  <c r="D31" i="11" s="1"/>
  <c r="C30" i="11"/>
  <c r="D30" i="11" s="1"/>
  <c r="C29" i="11"/>
  <c r="D29" i="11" s="1"/>
  <c r="C27" i="11"/>
  <c r="D27" i="11" s="1"/>
  <c r="C26" i="11"/>
  <c r="C25" i="11"/>
  <c r="D25" i="11" s="1"/>
  <c r="C24" i="11"/>
  <c r="D24" i="11" s="1"/>
  <c r="C23" i="11"/>
  <c r="D23" i="11" s="1"/>
  <c r="C22" i="11"/>
  <c r="D22" i="11" s="1"/>
  <c r="C15" i="11"/>
  <c r="D15" i="11" s="1"/>
  <c r="D9" i="11"/>
  <c r="D12" i="11"/>
  <c r="D26" i="11"/>
  <c r="D40" i="11"/>
  <c r="D43" i="11"/>
  <c r="D44" i="11"/>
  <c r="D45" i="11"/>
  <c r="D46" i="11"/>
  <c r="C23" i="8"/>
  <c r="C29" i="8"/>
  <c r="C28" i="8"/>
  <c r="C27" i="8"/>
  <c r="C26" i="8"/>
  <c r="C21" i="8"/>
  <c r="C20" i="8"/>
  <c r="O5" i="1"/>
  <c r="O6" i="1"/>
  <c r="O7" i="1"/>
  <c r="O8" i="1"/>
  <c r="O9" i="1"/>
  <c r="O10" i="1"/>
  <c r="O11" i="1"/>
  <c r="O4" i="1"/>
  <c r="M12" i="3"/>
  <c r="G6" i="13" l="1"/>
  <c r="G5" i="13"/>
  <c r="C43" i="11"/>
  <c r="C39" i="11"/>
  <c r="D39" i="11" s="1"/>
  <c r="C45" i="11"/>
  <c r="C44" i="11"/>
  <c r="C40" i="11"/>
  <c r="C37" i="11"/>
  <c r="D37" i="11" s="1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M70" i="1"/>
  <c r="F5" i="7" s="1"/>
  <c r="G63" i="7"/>
  <c r="G14" i="7"/>
  <c r="M13" i="3"/>
  <c r="M51" i="1" s="1"/>
  <c r="C3" i="10"/>
  <c r="C3" i="9"/>
  <c r="G11" i="8"/>
  <c r="C36" i="8"/>
  <c r="C30" i="8"/>
  <c r="C22" i="9"/>
  <c r="C20" i="9"/>
  <c r="C18" i="9"/>
  <c r="C13" i="9"/>
  <c r="C11" i="9"/>
  <c r="C9" i="9"/>
  <c r="C7" i="9"/>
  <c r="C5" i="9"/>
  <c r="C4" i="8"/>
  <c r="C9" i="8"/>
  <c r="C12" i="8" s="1"/>
  <c r="C18" i="8" s="1"/>
  <c r="I65" i="7"/>
  <c r="G65" i="7"/>
  <c r="I64" i="7"/>
  <c r="G64" i="7"/>
  <c r="F5" i="8"/>
  <c r="G29" i="7"/>
  <c r="G4" i="13" l="1"/>
  <c r="F7" i="13"/>
  <c r="G7" i="13"/>
  <c r="G13" i="13" s="1"/>
  <c r="H6" i="13"/>
  <c r="I6" i="13"/>
  <c r="C42" i="13"/>
  <c r="C8" i="11"/>
  <c r="D8" i="11" s="1"/>
  <c r="G12" i="13"/>
  <c r="C41" i="13"/>
  <c r="H5" i="13"/>
  <c r="I5" i="13"/>
  <c r="C41" i="11"/>
  <c r="D41" i="11" s="1"/>
  <c r="G30" i="7"/>
  <c r="G46" i="7"/>
  <c r="G24" i="7"/>
  <c r="F6" i="8"/>
  <c r="G6" i="8" s="1"/>
  <c r="G10" i="7"/>
  <c r="G5" i="7"/>
  <c r="G21" i="7"/>
  <c r="G53" i="7"/>
  <c r="G18" i="7"/>
  <c r="G22" i="7"/>
  <c r="F4" i="7"/>
  <c r="G34" i="7"/>
  <c r="M27" i="1"/>
  <c r="G26" i="7" s="1"/>
  <c r="M40" i="1"/>
  <c r="G39" i="7" s="1"/>
  <c r="M43" i="1"/>
  <c r="M49" i="1"/>
  <c r="G48" i="7" s="1"/>
  <c r="M28" i="1"/>
  <c r="G27" i="7" s="1"/>
  <c r="M42" i="1"/>
  <c r="M50" i="1"/>
  <c r="G49" i="7" s="1"/>
  <c r="M41" i="1"/>
  <c r="F9" i="7"/>
  <c r="F7" i="7"/>
  <c r="F10" i="7"/>
  <c r="F8" i="7"/>
  <c r="F6" i="7"/>
  <c r="G13" i="7"/>
  <c r="G43" i="7"/>
  <c r="G61" i="7"/>
  <c r="G37" i="7"/>
  <c r="G16" i="7"/>
  <c r="G62" i="7"/>
  <c r="G11" i="7"/>
  <c r="G50" i="7"/>
  <c r="G51" i="7"/>
  <c r="G59" i="7"/>
  <c r="G20" i="7"/>
  <c r="G32" i="7"/>
  <c r="G36" i="7"/>
  <c r="G56" i="7"/>
  <c r="C46" i="11"/>
  <c r="C32" i="11"/>
  <c r="D32" i="11" s="1"/>
  <c r="C28" i="11"/>
  <c r="D28" i="11" s="1"/>
  <c r="G33" i="7"/>
  <c r="G41" i="7"/>
  <c r="G19" i="7"/>
  <c r="F4" i="8"/>
  <c r="G45" i="7"/>
  <c r="G5" i="8"/>
  <c r="G9" i="7"/>
  <c r="G15" i="7"/>
  <c r="G31" i="7"/>
  <c r="G47" i="7"/>
  <c r="G25" i="7"/>
  <c r="G8" i="7"/>
  <c r="G40" i="7"/>
  <c r="G17" i="7"/>
  <c r="G57" i="7"/>
  <c r="G23" i="7"/>
  <c r="G6" i="7"/>
  <c r="G35" i="7"/>
  <c r="G55" i="7"/>
  <c r="G38" i="7"/>
  <c r="G54" i="7"/>
  <c r="G7" i="7"/>
  <c r="G4" i="7"/>
  <c r="G52" i="7"/>
  <c r="G60" i="7"/>
  <c r="G12" i="7"/>
  <c r="G44" i="7"/>
  <c r="G58" i="7"/>
  <c r="G28" i="7"/>
  <c r="G42" i="7"/>
  <c r="G3" i="7"/>
  <c r="C24" i="9"/>
  <c r="C15" i="9"/>
  <c r="C8" i="8"/>
  <c r="C11" i="8" s="1"/>
  <c r="C17" i="8" s="1"/>
  <c r="C11" i="11" l="1" a="1"/>
  <c r="C11" i="11" s="1"/>
  <c r="D11" i="11" s="1"/>
  <c r="K55" i="7"/>
  <c r="I16" i="7"/>
  <c r="H4" i="13"/>
  <c r="G9" i="13" s="1"/>
  <c r="I4" i="13"/>
  <c r="G10" i="13" s="1"/>
  <c r="C40" i="13"/>
  <c r="C43" i="13" s="1"/>
  <c r="C44" i="13" s="1"/>
  <c r="G15" i="13" s="1"/>
  <c r="G17" i="13" s="1"/>
  <c r="C7" i="11"/>
  <c r="D7" i="11" s="1"/>
  <c r="K59" i="7"/>
  <c r="K57" i="7"/>
  <c r="C42" i="8"/>
  <c r="I6" i="8"/>
  <c r="H6" i="8"/>
  <c r="H5" i="8"/>
  <c r="I5" i="8"/>
  <c r="G14" i="8"/>
  <c r="C19" i="11" s="1"/>
  <c r="C13" i="11"/>
  <c r="D13" i="11" s="1"/>
  <c r="C6" i="11"/>
  <c r="D6" i="11" s="1"/>
  <c r="C5" i="11"/>
  <c r="D5" i="11" s="1"/>
  <c r="F7" i="8"/>
  <c r="C41" i="8"/>
  <c r="G4" i="8"/>
  <c r="G7" i="8" s="1"/>
  <c r="G13" i="8" s="1"/>
  <c r="C18" i="11" s="1"/>
  <c r="C58" i="12" s="1"/>
  <c r="G67" i="7"/>
  <c r="C27" i="9"/>
  <c r="G12" i="8" l="1"/>
  <c r="C16" i="11" s="1"/>
  <c r="D19" i="11"/>
  <c r="C59" i="12"/>
  <c r="E59" i="12" s="1"/>
  <c r="D16" i="11"/>
  <c r="C54" i="12"/>
  <c r="E54" i="12" s="1"/>
  <c r="C50" i="12"/>
  <c r="G50" i="12" s="1"/>
  <c r="E47" i="12"/>
  <c r="E58" i="12"/>
  <c r="C61" i="12"/>
  <c r="E61" i="12" s="1"/>
  <c r="C20" i="11"/>
  <c r="D18" i="11"/>
  <c r="C40" i="8"/>
  <c r="C43" i="8" s="1"/>
  <c r="H4" i="8"/>
  <c r="G9" i="8" s="1"/>
  <c r="C10" i="11"/>
  <c r="D10" i="11" s="1"/>
  <c r="I4" i="8"/>
  <c r="G10" i="8" s="1"/>
  <c r="E50" i="12" l="1"/>
  <c r="C44" i="8"/>
  <c r="G15" i="8" s="1"/>
  <c r="C14" i="11" s="1"/>
  <c r="C52" i="12" s="1"/>
  <c r="F4" i="1"/>
  <c r="G4" i="1" s="1"/>
  <c r="G34" i="1"/>
  <c r="G37" i="1"/>
  <c r="G39" i="1"/>
  <c r="G42" i="1"/>
  <c r="E4" i="1"/>
  <c r="C46" i="3"/>
  <c r="C41" i="3"/>
  <c r="C37" i="3"/>
  <c r="C32" i="3"/>
  <c r="C28" i="3"/>
  <c r="C20" i="3"/>
  <c r="C17" i="3"/>
  <c r="C13" i="3"/>
  <c r="C10" i="3"/>
  <c r="E52" i="12" l="1"/>
  <c r="C56" i="12"/>
  <c r="C17" i="11"/>
  <c r="D17" i="11" s="1"/>
  <c r="D14" i="11"/>
  <c r="G17" i="8"/>
  <c r="C21" i="3"/>
  <c r="C33" i="3" s="1"/>
  <c r="C38" i="3" s="1"/>
  <c r="C42" i="3" s="1"/>
  <c r="C47" i="3" s="1"/>
  <c r="C49" i="3" s="1"/>
  <c r="C63" i="12" l="1"/>
  <c r="G63" i="12" s="1"/>
  <c r="D20" i="11"/>
  <c r="C21" i="11"/>
  <c r="F37" i="3"/>
  <c r="F32" i="3"/>
  <c r="F28" i="3"/>
  <c r="F20" i="3"/>
  <c r="F17" i="3"/>
  <c r="C78" i="12" l="1"/>
  <c r="G78" i="12" s="1"/>
  <c r="E63" i="12"/>
  <c r="D21" i="11"/>
  <c r="C33" i="11"/>
  <c r="C38" i="11" s="1"/>
  <c r="F79" i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C85" i="12" l="1"/>
  <c r="G85" i="12" s="1"/>
  <c r="E78" i="12"/>
  <c r="D33" i="11"/>
  <c r="C42" i="11"/>
  <c r="D38" i="11"/>
  <c r="C91" i="12" l="1"/>
  <c r="G91" i="12" s="1"/>
  <c r="E85" i="12"/>
  <c r="C47" i="11"/>
  <c r="C19" i="10" s="1"/>
  <c r="C48" i="11" s="1"/>
  <c r="D42" i="11"/>
  <c r="J75" i="1"/>
  <c r="C8" i="12" l="1"/>
  <c r="C7" i="12"/>
  <c r="C6" i="12"/>
  <c r="C5" i="12"/>
  <c r="C4" i="12"/>
  <c r="C97" i="12"/>
  <c r="E91" i="12"/>
  <c r="D47" i="11"/>
  <c r="E97" i="12" l="1"/>
  <c r="G97" i="12"/>
  <c r="C21" i="12"/>
  <c r="E21" i="12" s="1"/>
  <c r="C16" i="12"/>
  <c r="G3" i="12"/>
  <c r="C22" i="12"/>
  <c r="E22" i="12" s="1"/>
  <c r="G4" i="12"/>
  <c r="H4" i="12" s="1"/>
  <c r="F22" i="12" s="1"/>
  <c r="G22" i="12" s="1"/>
  <c r="C24" i="12"/>
  <c r="E24" i="12" s="1"/>
  <c r="G6" i="12"/>
  <c r="H6" i="12" s="1"/>
  <c r="F24" i="12" s="1"/>
  <c r="G24" i="12" s="1"/>
  <c r="C23" i="12"/>
  <c r="E23" i="12" s="1"/>
  <c r="G5" i="12"/>
  <c r="H5" i="12" s="1"/>
  <c r="F23" i="12" s="1"/>
  <c r="G23" i="12" s="1"/>
  <c r="C25" i="12"/>
  <c r="E25" i="12" s="1"/>
  <c r="G7" i="12"/>
  <c r="H7" i="12" s="1"/>
  <c r="F25" i="12" s="1"/>
  <c r="C49" i="11"/>
  <c r="D49" i="11" s="1"/>
  <c r="C99" i="12"/>
  <c r="I4" i="12" l="1"/>
  <c r="I6" i="12"/>
  <c r="I7" i="12"/>
  <c r="G9" i="12"/>
  <c r="H3" i="12"/>
  <c r="I5" i="12"/>
  <c r="D48" i="11"/>
  <c r="E99" i="12"/>
  <c r="C101" i="12"/>
  <c r="E101" i="12" l="1"/>
  <c r="G101" i="12"/>
  <c r="H9" i="12"/>
  <c r="F21" i="12"/>
  <c r="G21" i="12" s="1"/>
  <c r="I3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<sst xmlns="http://schemas.openxmlformats.org/spreadsheetml/2006/main" count="917" uniqueCount="398">
  <si>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</si>
  <si>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</si>
  <si>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</si>
  <si>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</si>
  <si>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</si>
  <si>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</si>
  <si>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</si>
  <si>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</si>
  <si>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</si>
  <si>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</si>
  <si>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</si>
  <si>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</si>
  <si>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</si>
  <si>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</si>
  <si>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</si>
  <si>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</si>
  <si>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</si>
  <si>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</si>
  <si>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</si>
  <si>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</si>
  <si>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</si>
  <si>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</si>
  <si>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</si>
  <si>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</si>
  <si>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</si>
  <si>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</si>
  <si>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</si>
  <si>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</si>
  <si>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</si>
  <si>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</si>
  <si>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</si>
  <si>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</si>
  <si>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</si>
  <si>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</si>
  <si>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</si>
  <si>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</si>
  <si>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</si>
  <si>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</si>
  <si>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</si>
  <si>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</si>
  <si>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</si>
  <si>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</si>
  <si>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</si>
  <si>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</si>
  <si>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</si>
  <si>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</si>
  <si>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</si>
  <si>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</si>
  <si>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</si>
  <si>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</si>
  <si>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</si>
  <si>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</si>
  <si>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</si>
  <si>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</si>
  <si>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</si>
  <si>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</si>
  <si>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</si>
  <si>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</si>
  <si>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</si>
  <si>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</si>
  <si>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</si>
  <si>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</si>
  <si>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</si>
  <si>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</si>
  <si>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</si>
  <si>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</si>
  <si>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</si>
  <si>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</si>
  <si>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</si>
  <si>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</si>
  <si>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</si>
  <si>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</si>
  <si>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</si>
  <si>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</si>
  <si>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</si>
  <si>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</si>
  <si>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</si>
  <si>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</si>
  <si>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</si>
  <si>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</si>
  <si>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</si>
  <si>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</si>
  <si>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</si>
  <si>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</si>
  <si>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</si>
  <si>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</si>
  <si>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</si>
  <si>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</si>
  <si>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</si>
  <si>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</si>
  <si>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</si>
  <si>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</si>
  <si>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</si>
  <si>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</si>
  <si>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</si>
  <si>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</si>
  <si>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</si>
  <si>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</si>
  <si>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</si>
  <si>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</si>
  <si>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</si>
  <si>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</si>
  <si>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</si>
  <si>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</si>
  <si>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</si>
  <si>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</si>
  <si>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</si>
  <si>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</si>
  <si>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</si>
  <si>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</si>
  <si>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</si>
  <si>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</si>
  <si>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</si>
  <si>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</si>
  <si>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</si>
  <si>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</si>
  <si>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</si>
  <si>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</si>
  <si>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</si>
  <si>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</si>
  <si>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</si>
  <si>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</si>
  <si>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</si>
  <si>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</si>
  <si>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</si>
  <si>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</si>
  <si>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</si>
  <si>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</si>
  <si>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</si>
  <si>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</si>
  <si>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</si>
  <si>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</si>
  <si>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</si>
  <si>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</si>
  <si>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</si>
  <si>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</si>
  <si>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</si>
  <si>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</si>
  <si>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</si>
  <si>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</si>
  <si>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</si>
  <si>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</si>
  <si>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</si>
  <si>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</si>
  <si>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</si>
  <si>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</si>
  <si>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</si>
  <si>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</si>
  <si>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</si>
  <si>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</si>
  <si>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</si>
  <si>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</si>
  <si>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</si>
  <si>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</si>
  <si>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</si>
  <si>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</si>
  <si>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</si>
  <si>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</si>
  <si>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</si>
  <si>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</si>
  <si>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</si>
  <si>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</si>
  <si>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</si>
  <si>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</si>
  <si>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</si>
  <si>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</si>
  <si>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</si>
  <si>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</si>
  <si>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</si>
  <si>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</si>
  <si>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</si>
  <si>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</si>
  <si>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</si>
  <si>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</si>
  <si>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</si>
  <si>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</si>
  <si>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</si>
  <si>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</si>
  <si>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</si>
  <si>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</si>
  <si>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</si>
  <si>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</si>
  <si>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</si>
  <si>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</si>
  <si>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</si>
  <si>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</si>
  <si>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</si>
  <si>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</si>
  <si>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</si>
  <si>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</si>
  <si>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</si>
  <si>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</si>
  <si>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</si>
  <si>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</si>
  <si>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</si>
  <si>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</si>
  <si>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</si>
  <si>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</si>
  <si>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</si>
  <si>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</si>
  <si>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</si>
  <si>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</si>
  <si>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</si>
  <si>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</si>
  <si>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</si>
  <si>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</si>
  <si>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</si>
  <si>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</si>
  <si>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</si>
  <si>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</si>
  <si>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</si>
  <si>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</si>
  <si>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</si>
  <si>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</si>
  <si>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</si>
  <si>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</si>
  <si>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</si>
  <si>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</si>
  <si>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</si>
  <si>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</si>
  <si>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</si>
  <si>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</si>
  <si>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</si>
  <si>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</si>
  <si>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</si>
  <si>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</si>
  <si>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</si>
  <si>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</si>
  <si>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</si>
  <si>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</si>
  <si>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</si>
  <si>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</si>
  <si>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</si>
  <si>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</si>
  <si>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</si>
  <si>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</si>
  <si>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</si>
  <si>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</si>
  <si>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</si>
  <si>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</si>
  <si>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</si>
  <si>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</si>
  <si>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</si>
  <si>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</si>
  <si>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</si>
  <si>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</si>
  <si>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</si>
  <si>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</si>
  <si>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</si>
  <si>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smc per ton vapore</t>
  </si>
  <si>
    <t>kWh per ton V</t>
  </si>
  <si>
    <t>kWh per ton A</t>
  </si>
  <si>
    <t>costo per quota CO2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</si>
  <si>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</si>
  <si>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</si>
  <si>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</si>
  <si>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</si>
  <si>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</si>
  <si>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</si>
  <si>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</si>
  <si>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</si>
  <si>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</si>
  <si>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</si>
  <si>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</si>
  <si>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kWh Servizi Generali mensile</t>
  </si>
  <si>
    <t>kWh Servizi Generali annui</t>
  </si>
  <si>
    <t>Costo smaltimento per ton di emulsione</t>
  </si>
  <si>
    <t>Costo trasporto per ton 2021</t>
  </si>
  <si>
    <t>aumento costo trasporto 2022</t>
  </si>
  <si>
    <t>Costo trasporto per ton 2022</t>
  </si>
  <si>
    <t>provvigioni su vendite di polveri</t>
  </si>
  <si>
    <t>valore moltiplicato per 1.4 per via del folle cuneo fiscale italiano</t>
  </si>
  <si>
    <t>ton vapore A</t>
  </si>
  <si>
    <t>ton vapore V</t>
  </si>
  <si>
    <t>ton di V per fare 1 Ton di P</t>
  </si>
  <si>
    <t>kWh per ton P (escluse le v)</t>
  </si>
  <si>
    <t>cons smc per ton P (comprese le v)</t>
  </si>
  <si>
    <t>nuovo investimento</t>
  </si>
  <si>
    <t>quota primo anno</t>
  </si>
  <si>
    <t>Tasso di cambio</t>
  </si>
  <si>
    <t xml:space="preserve">euro </t>
  </si>
  <si>
    <t>dollari</t>
  </si>
  <si>
    <t>dollaro</t>
  </si>
  <si>
    <t>"="</t>
  </si>
  <si>
    <t>cambiare solo la cella arancio</t>
  </si>
  <si>
    <t>Dazio</t>
  </si>
  <si>
    <t>CMP euro/kg</t>
  </si>
  <si>
    <t>//</t>
  </si>
  <si>
    <t>RICAVI DELLE VENDITE DI MATERIE PRIME - RIADDEBITI MP A GAMMA</t>
  </si>
  <si>
    <t>RICAVI CONTO LAVORAZIONE - GAMMA E POLIKEMIA</t>
  </si>
  <si>
    <t>CE mix totale 2022</t>
  </si>
  <si>
    <t>1, dove vanno i costi tasse unione eruopea?</t>
  </si>
  <si>
    <t>ora vanno fatti mix un po alla volta per capire da dove slatano fuori i delta</t>
  </si>
  <si>
    <t>euro</t>
  </si>
  <si>
    <t>Polveri P, consumi energia/metano diversi</t>
  </si>
  <si>
    <t>Polveri V, consumi medi diversi</t>
  </si>
  <si>
    <t>Ricavi delle vendite di prodotti finiti</t>
  </si>
  <si>
    <t>Ricavi delle vendite di materie prime</t>
  </si>
  <si>
    <t>Ricavi conto lavorazione</t>
  </si>
  <si>
    <t>cons vap per ton A</t>
  </si>
  <si>
    <t>cons vap per ton V</t>
  </si>
  <si>
    <t>Metano usato (smc)</t>
  </si>
  <si>
    <t>Energia elettrica usata (kWh)</t>
  </si>
  <si>
    <t>DELTA</t>
  </si>
  <si>
    <t>Budget 2022</t>
  </si>
  <si>
    <t>Volume (kg)</t>
  </si>
  <si>
    <t>Ricavi (€)</t>
  </si>
  <si>
    <t>Voce</t>
  </si>
  <si>
    <t>Budget</t>
  </si>
  <si>
    <t>Reale</t>
  </si>
  <si>
    <t>∆ Reale-Budget</t>
  </si>
  <si>
    <t>Mix Standard</t>
  </si>
  <si>
    <t>Mix Effettivo</t>
  </si>
  <si>
    <t>∆ Mix Effettivo-Budget</t>
  </si>
  <si>
    <t>In kg</t>
  </si>
  <si>
    <t>Q MP</t>
  </si>
  <si>
    <t>Q PCL</t>
  </si>
  <si>
    <t>Q PF P</t>
  </si>
  <si>
    <t>Q PF V</t>
  </si>
  <si>
    <t>Q PF A</t>
  </si>
  <si>
    <t>In €</t>
  </si>
  <si>
    <t>Prezzo totale MP</t>
  </si>
  <si>
    <t>Prezzo totale PCL</t>
  </si>
  <si>
    <t>Prezzo totale PF P</t>
  </si>
  <si>
    <t>Prezzo totale PF V</t>
  </si>
  <si>
    <t>Prezzo totale PF A</t>
  </si>
  <si>
    <t>Ricavi totali MP</t>
  </si>
  <si>
    <t>Ricavi totali PCL</t>
  </si>
  <si>
    <t>Ricavi totali PF P</t>
  </si>
  <si>
    <t>Ricavi totali PF V</t>
  </si>
  <si>
    <t>Ricavi totali PF A</t>
  </si>
  <si>
    <t>Ricavi totali PF</t>
  </si>
  <si>
    <t>Altri ricavi</t>
  </si>
  <si>
    <t>Variazione prodotti</t>
  </si>
  <si>
    <t>Totale ricavi di produzione</t>
  </si>
  <si>
    <t>Acquisto MP</t>
  </si>
  <si>
    <t>Variazione scorte</t>
  </si>
  <si>
    <t>Totale costi materie prime</t>
  </si>
  <si>
    <t>Costo energia totale</t>
  </si>
  <si>
    <t>Puizia e smaltimento rifiuti</t>
  </si>
  <si>
    <t>Costi variabili di produzione</t>
  </si>
  <si>
    <t>Trasporti e oneri di vendita + acquisto</t>
  </si>
  <si>
    <t>Costo di vendita- provvigion-enasarco</t>
  </si>
  <si>
    <t>Totale costi di vendita</t>
  </si>
  <si>
    <t>Margine operativo lordo (MON)</t>
  </si>
  <si>
    <t>Costo del personale</t>
  </si>
  <si>
    <t>Assicurazioni</t>
  </si>
  <si>
    <t>Consulenza tecniche e canoni acque</t>
  </si>
  <si>
    <t>Costo per godimento di beni terzi</t>
  </si>
  <si>
    <t>Totale costi fissi di produzione</t>
  </si>
  <si>
    <t>Consulenze e amministratori</t>
  </si>
  <si>
    <t>Totale costi struttura comm./amm.va</t>
  </si>
  <si>
    <t>Reddito operativo (EBITDA)</t>
  </si>
  <si>
    <t>Mix Budget (%)</t>
  </si>
  <si>
    <t>Totale reale</t>
  </si>
  <si>
    <t>Totale budget</t>
  </si>
  <si>
    <t>Rapporto Totale famiglia-MS</t>
  </si>
  <si>
    <t>Dati di appoggio</t>
  </si>
  <si>
    <t>Q totale reale MP</t>
  </si>
  <si>
    <t>Q totale realePCL</t>
  </si>
  <si>
    <t>Q totale reale PF P</t>
  </si>
  <si>
    <t>Q totale reale PF V</t>
  </si>
  <si>
    <t>Q totale reale PF A</t>
  </si>
  <si>
    <t>Ricavi totali reali MP</t>
  </si>
  <si>
    <t>Ricavi totali reali PCL</t>
  </si>
  <si>
    <t>Ricavi totali reali PF P</t>
  </si>
  <si>
    <t>Ricavi totali reali PF V</t>
  </si>
  <si>
    <t>Ricavi totali reali PF A</t>
  </si>
  <si>
    <t>Costo MP reali MP</t>
  </si>
  <si>
    <t>Costo MP reali PCL</t>
  </si>
  <si>
    <t>Costo MP reali PF P</t>
  </si>
  <si>
    <t>Costo MP reali PF V</t>
  </si>
  <si>
    <t>Costo MP reali PF A</t>
  </si>
  <si>
    <t>Q totale budget MP</t>
  </si>
  <si>
    <t>Q totale budget PCL</t>
  </si>
  <si>
    <t>Q totale budget PF P</t>
  </si>
  <si>
    <t>Q totale budget PF V</t>
  </si>
  <si>
    <t>Q totale budget PF A</t>
  </si>
  <si>
    <t>Totale</t>
  </si>
  <si>
    <t>Controllo Ricavi con media pesata</t>
  </si>
  <si>
    <t>Prezzo medio pesato reale</t>
  </si>
  <si>
    <t>Controllo costi MP</t>
  </si>
  <si>
    <t>Costo medio MP pesato reale</t>
  </si>
  <si>
    <t>Prezzo medio pesato budget</t>
  </si>
  <si>
    <t>Costo medio MP pesato budget</t>
  </si>
  <si>
    <t>quantita a MS (kg)</t>
  </si>
  <si>
    <t>Quantità a MS (ton)</t>
  </si>
  <si>
    <t>Ricavi totali budget MP</t>
  </si>
  <si>
    <t>Ricavi totali budget PCL</t>
  </si>
  <si>
    <t>Ricavi totali budget PF P</t>
  </si>
  <si>
    <t>Ricavi totali budget PF V</t>
  </si>
  <si>
    <t>Ricavi totali budget PF A</t>
  </si>
  <si>
    <t>Costo MP budget PF A</t>
  </si>
  <si>
    <t>Costo MP budget MP</t>
  </si>
  <si>
    <t>Costo MP budget PCL</t>
  </si>
  <si>
    <t>Costo MP budget PF P</t>
  </si>
  <si>
    <t>Costo MP budget PF V</t>
  </si>
  <si>
    <t>∆ Mix Budget-Standard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</si>
</sst>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  <numFmt numFmtId="174" formatCode="_-* #,##0.00\ _€_-;\-* #,##0.00\ _€_-;_-* &quot;-&quot;??\ _€_-;_-@_-"/>
    <numFmt numFmtId="175" formatCode="_-* #,##0.000\ _€_-;\-* #,##0.000\ _€_-;_-* &quot;-&quot;???\ _€_-;_-@_-"/>
    <numFmt numFmtId="176" formatCode="_-* #,##0.00\ [$€-410]_-;\-* #,##0.00\ [$€-410]_-;_-* &quot;-&quot;??\ [$€-410]_-;_-@_-"/>
    <numFmt numFmtId="177" formatCode="0.000"/>
    <numFmt numFmtId="178" formatCode="#,##0.00_ ;[Red]\-#,##0.00\ "/>
    <numFmt numFmtId="179" formatCode="_-* #,##0.0000_-;\-* #,##0.0000_-;_-* &quot;-&quot;??_-;_-@_-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  <font>
      <u/>
      <sz val="11"/>
      <color theme="1"/>
      <name val="Calibri"/>
      <family val="2"/>
      <scheme val="minor"/>
    </font>
    <font>
      <b/>
      <u/>
      <sz val="10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u/>
      <sz val="10"/>
      <name val="Calibri Light"/>
      <family val="2"/>
      <scheme val="major"/>
    </font>
  </fonts>
  <fills count="2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57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4" fontId="0" fillId="0" borderId="0" xfId="0" applyNumberFormat="1"/>
    <xf numFmtId="4" fontId="0" fillId="9" borderId="0" xfId="0" applyNumberFormat="1" applyFill="1"/>
    <xf numFmtId="0" fontId="8" fillId="13" borderId="0" xfId="0" applyFont="1" applyFill="1"/>
    <xf numFmtId="174" fontId="8" fillId="0" borderId="0" xfId="0" applyNumberFormat="1" applyFont="1"/>
    <xf numFmtId="175" fontId="8" fillId="0" borderId="22" xfId="0" applyNumberFormat="1" applyFont="1" applyBorder="1"/>
    <xf numFmtId="169" fontId="22" fillId="0" borderId="18" xfId="2" applyNumberFormat="1" applyFont="1" applyBorder="1" applyAlignment="1">
      <alignment horizontal="right" vertical="center"/>
    </xf>
    <xf numFmtId="0" fontId="29" fillId="0" borderId="0" xfId="0" applyFont="1"/>
    <xf numFmtId="169" fontId="30" fillId="3" borderId="18" xfId="3" applyNumberFormat="1" applyFont="1" applyFill="1" applyBorder="1" applyAlignment="1">
      <alignment horizontal="right" vertical="center"/>
    </xf>
    <xf numFmtId="0" fontId="31" fillId="14" borderId="0" xfId="0" applyFont="1" applyFill="1"/>
    <xf numFmtId="176" fontId="0" fillId="0" borderId="0" xfId="0" applyNumberFormat="1"/>
    <xf numFmtId="177" fontId="0" fillId="0" borderId="0" xfId="0" applyNumberFormat="1"/>
    <xf numFmtId="43" fontId="0" fillId="0" borderId="0" xfId="1" applyFont="1"/>
    <xf numFmtId="169" fontId="0" fillId="0" borderId="0" xfId="0" applyNumberFormat="1"/>
    <xf numFmtId="169" fontId="23" fillId="0" borderId="18" xfId="2" applyNumberFormat="1" applyFont="1" applyBorder="1" applyAlignment="1">
      <alignment horizontal="right" vertical="center"/>
    </xf>
    <xf numFmtId="4" fontId="29" fillId="0" borderId="0" xfId="0" applyNumberFormat="1" applyFont="1"/>
    <xf numFmtId="169" fontId="32" fillId="0" borderId="18" xfId="2" applyNumberFormat="1" applyFont="1" applyBorder="1" applyAlignment="1">
      <alignment horizontal="right" vertical="center"/>
    </xf>
    <xf numFmtId="0" fontId="0" fillId="14" borderId="32" xfId="0" applyFill="1" applyBorder="1" applyAlignment="1">
      <alignment horizontal="center" vertical="center"/>
    </xf>
    <xf numFmtId="0" fontId="0" fillId="16" borderId="32" xfId="0" applyFill="1" applyBorder="1" applyAlignment="1">
      <alignment horizontal="center" vertical="center"/>
    </xf>
    <xf numFmtId="43" fontId="0" fillId="16" borderId="32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178" fontId="0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left" vertical="center"/>
    </xf>
    <xf numFmtId="178" fontId="0" fillId="18" borderId="0" xfId="1" applyNumberFormat="1" applyFont="1" applyFill="1" applyAlignment="1">
      <alignment horizontal="center" vertical="center"/>
    </xf>
    <xf numFmtId="178" fontId="1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center" vertical="center"/>
    </xf>
    <xf numFmtId="178" fontId="0" fillId="0" borderId="0" xfId="1" applyNumberFormat="1" applyFont="1"/>
    <xf numFmtId="0" fontId="0" fillId="18" borderId="0" xfId="0" applyFill="1"/>
    <xf numFmtId="178" fontId="0" fillId="18" borderId="0" xfId="1" applyNumberFormat="1" applyFont="1" applyFill="1"/>
    <xf numFmtId="178" fontId="1" fillId="0" borderId="0" xfId="1" applyNumberFormat="1" applyFont="1"/>
    <xf numFmtId="0" fontId="0" fillId="14" borderId="0" xfId="0" applyFill="1"/>
    <xf numFmtId="178" fontId="0" fillId="0" borderId="0" xfId="0" applyNumberFormat="1"/>
    <xf numFmtId="0" fontId="0" fillId="15" borderId="0" xfId="0" applyFill="1"/>
    <xf numFmtId="0" fontId="0" fillId="19" borderId="0" xfId="0" applyFill="1"/>
    <xf numFmtId="0" fontId="0" fillId="0" borderId="0" xfId="0" applyAlignment="1">
      <alignment vertical="center"/>
    </xf>
    <xf numFmtId="43" fontId="0" fillId="0" borderId="0" xfId="1" applyFont="1" applyFill="1" applyBorder="1" applyAlignment="1">
      <alignment horizontal="center" vertical="center"/>
    </xf>
    <xf numFmtId="43" fontId="0" fillId="0" borderId="0" xfId="0" applyNumberFormat="1"/>
    <xf numFmtId="174" fontId="0" fillId="0" borderId="0" xfId="0" applyNumberFormat="1"/>
    <xf numFmtId="0" fontId="0" fillId="0" borderId="0" xfId="0" applyAlignment="1">
      <alignment horizontal="center"/>
    </xf>
    <xf numFmtId="174" fontId="0" fillId="0" borderId="0" xfId="0" applyNumberFormat="1" applyAlignment="1">
      <alignment horizontal="center"/>
    </xf>
    <xf numFmtId="179" fontId="0" fillId="0" borderId="0" xfId="1" applyNumberFormat="1" applyFont="1" applyAlignment="1">
      <alignment horizontal="center"/>
    </xf>
    <xf numFmtId="178" fontId="8" fillId="0" borderId="0" xfId="0" applyNumberFormat="1" applyFont="1"/>
    <xf numFmtId="179" fontId="0" fillId="0" borderId="0" xfId="0" applyNumberFormat="1"/>
    <xf numFmtId="179" fontId="0" fillId="20" borderId="0" xfId="0" applyNumberFormat="1" applyFill="1"/>
    <xf numFmtId="178" fontId="0" fillId="20" borderId="0" xfId="0" applyNumberFormat="1" applyFill="1"/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32" xfId="0" applyFill="1" applyBorder="1" applyAlignment="1">
      <alignment horizontal="center" vertical="center"/>
    </xf>
    <xf numFmtId="0" fontId="0" fillId="15" borderId="33" xfId="0" applyFill="1" applyBorder="1" applyAlignment="1">
      <alignment horizontal="center" vertical="center"/>
    </xf>
    <xf numFmtId="178" fontId="0" fillId="0" borderId="0" xfId="0" applyNumberFormat="1" applyFont="1"/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N62"/>
  <sheetViews>
    <sheetView topLeftCell="A6" workbookViewId="0">
      <selection activeCell="C11" sqref="C11"/>
    </sheetView>
  </sheetViews>
  <sheetFormatPr defaultColWidth="8.77734375" defaultRowHeight="14.4" x14ac:dyDescent="0.3"/>
  <cols>
    <col min="1" max="1" width="2.77734375" style="1" customWidth="1"/>
    <col min="2" max="2" width="45.44140625" style="1" bestFit="1" customWidth="1"/>
    <col min="3" max="3" width="12.77734375" style="1" bestFit="1" customWidth="1"/>
    <col min="4" max="4" width="13.77734375" style="1" bestFit="1" customWidth="1"/>
    <col min="5" max="5" width="45.44140625" style="1" bestFit="1" customWidth="1"/>
    <col min="6" max="6" width="12.77734375" style="1" bestFit="1" customWidth="1"/>
    <col min="7" max="7" width="13.77734375" style="1" customWidth="1"/>
    <col min="8" max="16384" width="8.77734375" style="1"/>
  </cols>
  <sheetData>
    <row r="1" spans="2:14" ht="16.2" customHeight="1" thickBot="1" x14ac:dyDescent="0.35"/>
    <row r="2" spans="2:14" ht="18.600000000000001" thickBot="1" x14ac:dyDescent="0.35">
      <c r="B2" s="144" t="s">
        <v>139</v>
      </c>
      <c r="C2" s="145"/>
      <c r="E2" s="144" t="s">
        <v>139</v>
      </c>
      <c r="F2" s="145"/>
    </row>
    <row r="3" spans="2:14" x14ac:dyDescent="0.3">
      <c r="B3" s="142" t="s">
        <v>169</v>
      </c>
      <c r="C3" s="42" t="s">
        <v>65</v>
      </c>
      <c r="E3" s="146" t="s">
        <v>170</v>
      </c>
      <c r="F3" s="80" t="s">
        <v>65</v>
      </c>
    </row>
    <row r="4" spans="2:14" x14ac:dyDescent="0.3">
      <c r="B4" s="143"/>
      <c r="C4" s="43" t="s">
        <v>66</v>
      </c>
      <c r="E4" s="143"/>
      <c r="F4" s="43" t="s">
        <v>66</v>
      </c>
      <c r="J4" s="1" t="s">
        <v>191</v>
      </c>
    </row>
    <row r="5" spans="2:14" x14ac:dyDescent="0.3">
      <c r="B5" s="44" t="s">
        <v>67</v>
      </c>
      <c r="C5" s="85">
        <v>61294659.022799999</v>
      </c>
      <c r="E5" s="44"/>
      <c r="F5" s="45"/>
    </row>
    <row r="6" spans="2:14" x14ac:dyDescent="0.3">
      <c r="B6" s="46" t="s">
        <v>137</v>
      </c>
      <c r="C6" s="84">
        <v>528226.62545000005</v>
      </c>
      <c r="E6" s="46"/>
      <c r="F6" s="45"/>
    </row>
    <row r="7" spans="2:14" x14ac:dyDescent="0.3">
      <c r="B7" s="44" t="s">
        <v>138</v>
      </c>
      <c r="C7" s="84">
        <v>1877590.3519999997</v>
      </c>
      <c r="E7" s="44"/>
      <c r="F7" s="45"/>
    </row>
    <row r="8" spans="2:14" x14ac:dyDescent="0.3">
      <c r="B8" s="44" t="s">
        <v>68</v>
      </c>
      <c r="C8" s="89">
        <v>120000</v>
      </c>
      <c r="E8" s="44"/>
      <c r="F8" s="45"/>
    </row>
    <row r="9" spans="2:14" x14ac:dyDescent="0.3">
      <c r="B9" s="44" t="s">
        <v>69</v>
      </c>
      <c r="C9" s="89">
        <v>500000</v>
      </c>
      <c r="E9" s="44"/>
      <c r="F9" s="45"/>
    </row>
    <row r="10" spans="2:14" x14ac:dyDescent="0.3">
      <c r="B10" s="47" t="s">
        <v>70</v>
      </c>
      <c r="C10" s="48">
        <f>+SUM(C5:C9)</f>
        <v>64320476.000249997</v>
      </c>
      <c r="D10" s="27"/>
      <c r="E10" s="47"/>
      <c r="F10" s="48"/>
    </row>
    <row r="11" spans="2:14" x14ac:dyDescent="0.3">
      <c r="B11" s="44" t="s">
        <v>71</v>
      </c>
      <c r="C11" s="86">
        <v>-49370805.517265007</v>
      </c>
      <c r="E11" s="44"/>
      <c r="F11" s="45"/>
      <c r="J11" s="1" t="s">
        <v>279</v>
      </c>
    </row>
    <row r="12" spans="2:14" x14ac:dyDescent="0.3">
      <c r="B12" s="44" t="s">
        <v>72</v>
      </c>
      <c r="C12" s="90">
        <v>2500000</v>
      </c>
      <c r="E12" s="44"/>
      <c r="F12" s="45"/>
      <c r="J12" s="1">
        <v>1</v>
      </c>
      <c r="K12" s="1" t="s">
        <v>280</v>
      </c>
      <c r="L12" s="1" t="s">
        <v>283</v>
      </c>
      <c r="M12" s="98">
        <f xml:space="preserve"> 1.17</f>
        <v>1.17</v>
      </c>
      <c r="N12" s="1" t="s">
        <v>281</v>
      </c>
    </row>
    <row r="13" spans="2:14" x14ac:dyDescent="0.3">
      <c r="B13" s="47" t="s">
        <v>73</v>
      </c>
      <c r="C13" s="87">
        <f>+C11+C12</f>
        <v>-46870805.517265007</v>
      </c>
      <c r="E13" s="47"/>
      <c r="F13" s="48"/>
      <c r="J13" s="1">
        <v>1</v>
      </c>
      <c r="K13" s="1" t="s">
        <v>282</v>
      </c>
      <c r="L13" s="1" t="s">
        <v>283</v>
      </c>
      <c r="M13" s="1">
        <f>J13/M12</f>
        <v>0.85470085470085477</v>
      </c>
      <c r="N13" s="1" t="s">
        <v>293</v>
      </c>
    </row>
    <row r="14" spans="2:14" x14ac:dyDescent="0.3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  <c r="M14" s="1" t="s">
        <v>284</v>
      </c>
    </row>
    <row r="15" spans="2:14" x14ac:dyDescent="0.3">
      <c r="B15" s="44" t="s">
        <v>75</v>
      </c>
      <c r="C15" s="45">
        <v>-175000</v>
      </c>
      <c r="D15" s="27"/>
      <c r="E15" s="44" t="s">
        <v>75</v>
      </c>
      <c r="F15" s="45">
        <v>-150000</v>
      </c>
    </row>
    <row r="16" spans="2:14" x14ac:dyDescent="0.3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35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35">
      <c r="B21" s="49" t="s">
        <v>81</v>
      </c>
      <c r="C21" s="50">
        <f>+C10+C13+C17+C20</f>
        <v>11052003.037815414</v>
      </c>
      <c r="E21" s="49"/>
      <c r="F21" s="50"/>
    </row>
    <row r="22" spans="2:6" x14ac:dyDescent="0.3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35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35">
      <c r="B33" s="51" t="s">
        <v>93</v>
      </c>
      <c r="C33" s="52">
        <f>+C21+C28+C32</f>
        <v>2384503.0378154144</v>
      </c>
      <c r="E33" s="51"/>
      <c r="F33" s="52"/>
    </row>
    <row r="34" spans="2:7" x14ac:dyDescent="0.3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35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35">
      <c r="B38" s="49" t="s">
        <v>98</v>
      </c>
      <c r="C38" s="50">
        <f>+C33+C37</f>
        <v>1359503.0378154144</v>
      </c>
      <c r="E38" s="28"/>
    </row>
    <row r="39" spans="2:7" x14ac:dyDescent="0.3">
      <c r="B39" s="44" t="s">
        <v>99</v>
      </c>
      <c r="C39" s="45">
        <v>-140133.03999999998</v>
      </c>
      <c r="E39" s="28"/>
    </row>
    <row r="40" spans="2:7" x14ac:dyDescent="0.3">
      <c r="B40" s="44" t="s">
        <v>100</v>
      </c>
      <c r="C40" s="45">
        <v>3543.6200000000003</v>
      </c>
      <c r="E40" s="28"/>
    </row>
    <row r="41" spans="2:7" ht="15" thickBot="1" x14ac:dyDescent="0.35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35">
      <c r="B42" s="49" t="s">
        <v>102</v>
      </c>
      <c r="C42" s="50">
        <f>+C38+C41</f>
        <v>1222913.6178154144</v>
      </c>
      <c r="E42" s="28"/>
    </row>
    <row r="43" spans="2:7" x14ac:dyDescent="0.3">
      <c r="B43" s="44" t="s">
        <v>103</v>
      </c>
      <c r="C43" s="45">
        <v>-130503.97</v>
      </c>
      <c r="E43" s="28"/>
    </row>
    <row r="44" spans="2:7" x14ac:dyDescent="0.3">
      <c r="B44" s="44" t="s">
        <v>104</v>
      </c>
      <c r="C44" s="45">
        <v>0</v>
      </c>
      <c r="E44" s="28"/>
    </row>
    <row r="45" spans="2:7" x14ac:dyDescent="0.3">
      <c r="B45" s="44" t="s">
        <v>105</v>
      </c>
      <c r="C45" s="45">
        <v>0</v>
      </c>
      <c r="E45" s="28"/>
    </row>
    <row r="46" spans="2:7" ht="15" thickBot="1" x14ac:dyDescent="0.35">
      <c r="B46" s="47" t="s">
        <v>106</v>
      </c>
      <c r="C46" s="48">
        <f>SUM(C43:C45)</f>
        <v>-130503.97</v>
      </c>
      <c r="E46" s="28"/>
    </row>
    <row r="47" spans="2:7" ht="15" thickBot="1" x14ac:dyDescent="0.35">
      <c r="B47" s="49" t="s">
        <v>107</v>
      </c>
      <c r="C47" s="50">
        <f>+C46+C42</f>
        <v>1092409.6478154145</v>
      </c>
      <c r="E47" s="28"/>
    </row>
    <row r="48" spans="2:7" ht="15" thickBot="1" x14ac:dyDescent="0.35">
      <c r="B48" s="44" t="s">
        <v>108</v>
      </c>
      <c r="C48" s="45">
        <v>-327722.8943446154</v>
      </c>
      <c r="E48" s="28"/>
    </row>
    <row r="49" spans="2:6" ht="15" thickBot="1" x14ac:dyDescent="0.35">
      <c r="B49" s="49" t="s">
        <v>109</v>
      </c>
      <c r="C49" s="50">
        <f>+C48+C47</f>
        <v>764686.75347079907</v>
      </c>
      <c r="E49" s="28"/>
    </row>
    <row r="50" spans="2:6" x14ac:dyDescent="0.3">
      <c r="B50" s="28"/>
      <c r="E50" s="28"/>
    </row>
    <row r="51" spans="2:6" x14ac:dyDescent="0.3">
      <c r="B51" s="28"/>
      <c r="E51" s="28"/>
    </row>
    <row r="52" spans="2:6" x14ac:dyDescent="0.3">
      <c r="B52" s="28"/>
      <c r="E52" s="28"/>
    </row>
    <row r="53" spans="2:6" x14ac:dyDescent="0.3">
      <c r="B53" s="28"/>
      <c r="E53" s="28"/>
    </row>
    <row r="54" spans="2:6" x14ac:dyDescent="0.3">
      <c r="B54" s="28"/>
      <c r="E54" s="28"/>
    </row>
    <row r="55" spans="2:6" x14ac:dyDescent="0.3">
      <c r="B55" s="28"/>
      <c r="E55" s="28"/>
    </row>
    <row r="56" spans="2:6" x14ac:dyDescent="0.3">
      <c r="B56" s="28"/>
      <c r="E56" s="28"/>
    </row>
    <row r="57" spans="2:6" x14ac:dyDescent="0.3">
      <c r="B57" s="28"/>
      <c r="C57" s="29"/>
      <c r="E57" s="28"/>
      <c r="F57" s="29"/>
    </row>
    <row r="58" spans="2:6" x14ac:dyDescent="0.3">
      <c r="B58" s="28"/>
      <c r="E58" s="28"/>
    </row>
    <row r="59" spans="2:6" x14ac:dyDescent="0.3">
      <c r="B59" s="28"/>
      <c r="E59" s="28"/>
    </row>
    <row r="60" spans="2:6" x14ac:dyDescent="0.3">
      <c r="B60" s="28"/>
      <c r="C60" s="29"/>
      <c r="E60" s="28"/>
      <c r="F60" s="29"/>
    </row>
    <row r="61" spans="2:6" x14ac:dyDescent="0.3">
      <c r="B61" s="28"/>
      <c r="E61" s="28"/>
    </row>
    <row r="62" spans="2:6" x14ac:dyDescent="0.3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topLeftCell="A82" zoomScale="77" zoomScaleNormal="60" workbookViewId="0">
      <selection activeCell="B105" sqref="B100:C105"/>
    </sheetView>
  </sheetViews>
  <sheetFormatPr defaultColWidth="8.77734375" defaultRowHeight="14.4" x14ac:dyDescent="0.3"/>
  <cols>
    <col min="1" max="1" width="2.77734375" style="1" customWidth="1"/>
    <col min="2" max="2" width="20" style="1" customWidth="1"/>
    <col min="3" max="3" width="15.33203125" style="1" customWidth="1"/>
    <col min="4" max="4" width="14.77734375" style="1" customWidth="1"/>
    <col min="5" max="5" width="19.77734375" style="1" customWidth="1"/>
    <col min="6" max="6" width="16.77734375" style="1" bestFit="1" customWidth="1"/>
    <col min="7" max="7" width="14.5546875" style="1" bestFit="1" customWidth="1"/>
    <col min="8" max="8" width="18" style="1" customWidth="1"/>
    <col min="9" max="9" width="13.44140625" style="1" bestFit="1" customWidth="1"/>
    <col min="10" max="10" width="14.77734375" style="1" bestFit="1" customWidth="1"/>
    <col min="11" max="11" width="24.21875" style="1" customWidth="1"/>
    <col min="12" max="12" width="12.44140625" style="1" bestFit="1" customWidth="1"/>
    <col min="13" max="13" width="29.21875" style="1" customWidth="1"/>
    <col min="14" max="14" width="13.5546875" style="1" bestFit="1" customWidth="1"/>
    <col min="15" max="15" width="24.77734375" style="1" customWidth="1"/>
    <col min="16" max="16" width="16.109375" style="1" customWidth="1"/>
    <col min="17" max="17" width="18.77734375" style="1" bestFit="1" customWidth="1"/>
    <col min="18" max="18" width="8.77734375" style="1"/>
    <col min="19" max="19" width="14.21875" style="1" customWidth="1"/>
    <col min="20" max="16384" width="8.77734375" style="1"/>
  </cols>
  <sheetData>
    <row r="1" spans="1:19" ht="15.6" customHeight="1" thickBot="1" x14ac:dyDescent="0.35"/>
    <row r="2" spans="1:19" ht="15" thickBot="1" x14ac:dyDescent="0.35">
      <c r="B2" s="147" t="s">
        <v>162</v>
      </c>
      <c r="C2" s="148"/>
      <c r="D2" s="148"/>
      <c r="E2" s="148"/>
      <c r="F2" s="149"/>
      <c r="H2" s="59"/>
      <c r="J2" s="147" t="s">
        <v>64</v>
      </c>
      <c r="K2" s="148"/>
      <c r="L2" s="148"/>
      <c r="M2" s="148"/>
      <c r="N2" s="148"/>
      <c r="O2" s="148"/>
      <c r="P2" s="148"/>
      <c r="Q2" s="149"/>
      <c r="S2" s="88"/>
    </row>
    <row r="3" spans="1:19" ht="15" thickBot="1" x14ac:dyDescent="0.35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9" ht="15" thickBot="1" x14ac:dyDescent="0.35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/>
      <c r="J4" s="78" t="s">
        <v>0</v>
      </c>
      <c r="K4" s="64" t="s">
        <v>115</v>
      </c>
      <c r="L4" s="65">
        <v>48000</v>
      </c>
      <c r="M4" s="66">
        <v>0.93</v>
      </c>
      <c r="N4" s="66"/>
      <c r="O4" s="100">
        <f>P4*'CE 21-22'!$M$13*(1+$M$70)</f>
        <v>0.59257692307692311</v>
      </c>
      <c r="P4" s="67">
        <v>0.65100000000000002</v>
      </c>
      <c r="Q4" s="74" t="s">
        <v>157</v>
      </c>
      <c r="S4" s="37"/>
    </row>
    <row r="5" spans="1:19" ht="15" thickBot="1" x14ac:dyDescent="0.35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O5" s="100">
        <f>P5*'CE 21-22'!$M$13*(1+$M$70)</f>
        <v>2.5487179487179485</v>
      </c>
      <c r="P5" s="61">
        <v>2.8</v>
      </c>
      <c r="Q5" s="75" t="s">
        <v>157</v>
      </c>
      <c r="S5" s="37"/>
    </row>
    <row r="6" spans="1:19" ht="15" thickBot="1" x14ac:dyDescent="0.35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O6" s="100">
        <f>P6*'CE 21-22'!$M$13*(1+$M$70)</f>
        <v>1.5292307692307692</v>
      </c>
      <c r="P6" s="61">
        <v>1.68</v>
      </c>
      <c r="Q6" s="75" t="s">
        <v>157</v>
      </c>
      <c r="S6" s="37"/>
    </row>
    <row r="7" spans="1:19" ht="15" thickBot="1" x14ac:dyDescent="0.35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O7" s="100">
        <f>P7*'CE 21-22'!$M$13*(1+$M$70)</f>
        <v>2.5487179487179485</v>
      </c>
      <c r="P7" s="61">
        <v>2.8</v>
      </c>
      <c r="Q7" s="75" t="s">
        <v>157</v>
      </c>
      <c r="S7" s="37"/>
    </row>
    <row r="8" spans="1:19" ht="15" thickBot="1" x14ac:dyDescent="0.35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O8" s="100">
        <f>P8*'CE 21-22'!$M$13*(1+$M$70)</f>
        <v>1.8515442890442888</v>
      </c>
      <c r="P8" s="61">
        <v>2.0340909090909087</v>
      </c>
      <c r="Q8" s="75" t="s">
        <v>157</v>
      </c>
      <c r="S8" s="37"/>
    </row>
    <row r="9" spans="1:19" ht="15" thickBot="1" x14ac:dyDescent="0.35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O9" s="100">
        <f>P9*'CE 21-22'!$M$13*(1+$M$70)</f>
        <v>2.8035897435897441</v>
      </c>
      <c r="P9" s="61">
        <v>3.08</v>
      </c>
      <c r="Q9" s="75" t="s">
        <v>157</v>
      </c>
      <c r="S9" s="37"/>
    </row>
    <row r="10" spans="1:19" ht="15" thickBot="1" x14ac:dyDescent="0.35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O10" s="100">
        <f>P10*'CE 21-22'!$M$13*(1+$M$70)</f>
        <v>2.9437692307692309</v>
      </c>
      <c r="P10" s="61">
        <v>3.234</v>
      </c>
      <c r="Q10" s="75" t="s">
        <v>157</v>
      </c>
      <c r="S10" s="37"/>
    </row>
    <row r="11" spans="1:19" x14ac:dyDescent="0.3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O11" s="100">
        <f>P11*'CE 21-22'!$M$13*(1+$M$70)</f>
        <v>1.6885256410256408</v>
      </c>
      <c r="P11" s="61">
        <v>1.8549999999999998</v>
      </c>
      <c r="Q11" s="75" t="s">
        <v>157</v>
      </c>
      <c r="S11" s="37"/>
    </row>
    <row r="12" spans="1:19" x14ac:dyDescent="0.3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  <c r="S12" s="37"/>
    </row>
    <row r="13" spans="1:19" x14ac:dyDescent="0.3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  <c r="S13" s="37"/>
    </row>
    <row r="14" spans="1:19" x14ac:dyDescent="0.3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  <c r="S14" s="37"/>
    </row>
    <row r="15" spans="1:19" x14ac:dyDescent="0.3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  <c r="S15" s="37"/>
    </row>
    <row r="16" spans="1:19" x14ac:dyDescent="0.3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  <c r="S16" s="37"/>
    </row>
    <row r="17" spans="2:19" ht="15" thickBot="1" x14ac:dyDescent="0.35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  <c r="S17" s="37"/>
    </row>
    <row r="18" spans="2:19" x14ac:dyDescent="0.3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  <c r="S18" s="37"/>
    </row>
    <row r="19" spans="2:19" x14ac:dyDescent="0.3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  <c r="S19" s="37"/>
    </row>
    <row r="20" spans="2:19" x14ac:dyDescent="0.3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  <c r="S20" s="37"/>
    </row>
    <row r="21" spans="2:19" x14ac:dyDescent="0.3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  <c r="S21" s="37"/>
    </row>
    <row r="22" spans="2:19" ht="15" thickBot="1" x14ac:dyDescent="0.35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  <c r="S22" s="37"/>
    </row>
    <row r="23" spans="2:19" x14ac:dyDescent="0.3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  <c r="S23" s="37"/>
    </row>
    <row r="24" spans="2:19" x14ac:dyDescent="0.3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  <c r="S24" s="37"/>
    </row>
    <row r="25" spans="2:19" x14ac:dyDescent="0.3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  <c r="S25" s="37"/>
    </row>
    <row r="26" spans="2:19" x14ac:dyDescent="0.3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  <c r="S26" s="37"/>
    </row>
    <row r="27" spans="2:19" x14ac:dyDescent="0.3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M27" s="99">
        <f>N27*'CE 21-22'!$M$13</f>
        <v>2.6884649639082481</v>
      </c>
      <c r="N27" s="38">
        <v>3.1455040077726499</v>
      </c>
      <c r="O27" s="61">
        <v>2.1592931114889486</v>
      </c>
      <c r="P27" s="38"/>
      <c r="Q27" s="62"/>
      <c r="S27" s="37"/>
    </row>
    <row r="28" spans="2:19" x14ac:dyDescent="0.3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M28" s="99">
        <f>N28*'CE 21-22'!$M$13</f>
        <v>2.761472347418092</v>
      </c>
      <c r="N28" s="38">
        <v>3.2309226464791676</v>
      </c>
      <c r="O28" s="61">
        <v>2.2976852023348089</v>
      </c>
      <c r="P28" s="38"/>
      <c r="Q28" s="62"/>
      <c r="S28" s="37"/>
    </row>
    <row r="29" spans="2:19" x14ac:dyDescent="0.3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  <c r="S29" s="37"/>
    </row>
    <row r="30" spans="2:19" x14ac:dyDescent="0.3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  <c r="S30" s="37"/>
    </row>
    <row r="31" spans="2:19" x14ac:dyDescent="0.3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  <c r="S31" s="37"/>
    </row>
    <row r="32" spans="2:19" x14ac:dyDescent="0.3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  <c r="S32" s="37"/>
    </row>
    <row r="33" spans="2:19" x14ac:dyDescent="0.3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  <c r="S33" s="37"/>
    </row>
    <row r="34" spans="2:19" x14ac:dyDescent="0.3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  <c r="S34" s="37"/>
    </row>
    <row r="35" spans="2:19" x14ac:dyDescent="0.3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  <c r="S35" s="37"/>
    </row>
    <row r="36" spans="2:19" x14ac:dyDescent="0.3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  <c r="S36" s="37"/>
    </row>
    <row r="37" spans="2:19" x14ac:dyDescent="0.3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  <c r="S37" s="37"/>
    </row>
    <row r="38" spans="2:19" x14ac:dyDescent="0.3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  <c r="S38" s="37"/>
    </row>
    <row r="39" spans="2:19" x14ac:dyDescent="0.3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  <c r="S39" s="37"/>
    </row>
    <row r="40" spans="2:19" x14ac:dyDescent="0.3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M40" s="99">
        <f>N40*'CE 21-22'!$M$13</f>
        <v>0.90408698855175917</v>
      </c>
      <c r="N40" s="38">
        <v>1.0577817766055582</v>
      </c>
      <c r="O40" s="61">
        <v>0.75997644847791901</v>
      </c>
      <c r="P40" s="38"/>
      <c r="Q40" s="62"/>
      <c r="S40" s="37"/>
    </row>
    <row r="41" spans="2:19" x14ac:dyDescent="0.3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M41" s="99">
        <f>N41*'CE 21-22'!$M$13</f>
        <v>1.1868131868131868</v>
      </c>
      <c r="N41" s="38">
        <v>1.3885714285714286</v>
      </c>
      <c r="O41" s="61">
        <v>1.1206985714285713</v>
      </c>
      <c r="P41" s="38"/>
      <c r="Q41" s="62"/>
      <c r="S41" s="37"/>
    </row>
    <row r="42" spans="2:19" x14ac:dyDescent="0.3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M42" s="99">
        <f>N42*'CE 21-22'!$M$13</f>
        <v>1.0863409575229324</v>
      </c>
      <c r="N42" s="38">
        <v>1.2710189203018307</v>
      </c>
      <c r="O42" s="61">
        <v>0.99127780878556027</v>
      </c>
      <c r="P42" s="38"/>
      <c r="Q42" s="62"/>
      <c r="S42" s="37"/>
    </row>
    <row r="43" spans="2:19" x14ac:dyDescent="0.3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M43" s="99">
        <f>N43*'CE 21-22'!$M$13</f>
        <v>1.0868235025843722</v>
      </c>
      <c r="N43" s="38">
        <v>1.2715834980237153</v>
      </c>
      <c r="O43" s="61">
        <v>0.96538828063241089</v>
      </c>
      <c r="P43" s="38"/>
      <c r="Q43" s="62"/>
      <c r="S43" s="37"/>
    </row>
    <row r="44" spans="2:19" x14ac:dyDescent="0.3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  <c r="S44" s="37"/>
    </row>
    <row r="45" spans="2:19" x14ac:dyDescent="0.3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  <c r="S45" s="37"/>
    </row>
    <row r="46" spans="2:19" x14ac:dyDescent="0.3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  <c r="S46" s="37"/>
    </row>
    <row r="47" spans="2:19" x14ac:dyDescent="0.3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  <c r="S47" s="37"/>
    </row>
    <row r="48" spans="2:19" x14ac:dyDescent="0.3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  <c r="S48" s="37"/>
    </row>
    <row r="49" spans="2:19" x14ac:dyDescent="0.3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M49" s="99">
        <f>N49*'CE 21-22'!$M$13</f>
        <v>1.423482665456222</v>
      </c>
      <c r="N49" s="38">
        <v>1.6654747185837797</v>
      </c>
      <c r="O49" s="61">
        <v>1.3105806561670159</v>
      </c>
      <c r="P49" s="38"/>
      <c r="Q49" s="62"/>
      <c r="S49" s="37"/>
    </row>
    <row r="50" spans="2:19" x14ac:dyDescent="0.3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M50" s="99">
        <f>N50*'CE 21-22'!$M$13</f>
        <v>1.3552173980486142</v>
      </c>
      <c r="N50" s="38">
        <v>1.5856043557168784</v>
      </c>
      <c r="O50" s="61">
        <v>1.1837239694062742</v>
      </c>
      <c r="P50" s="38"/>
      <c r="Q50" s="62"/>
      <c r="S50" s="37"/>
    </row>
    <row r="51" spans="2:19" x14ac:dyDescent="0.3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M51" s="99">
        <f>N51*'CE 21-22'!$M$13</f>
        <v>1.479172996488872</v>
      </c>
      <c r="N51" s="38">
        <v>1.7306324058919802</v>
      </c>
      <c r="O51" s="61">
        <v>1.2825347995090015</v>
      </c>
      <c r="P51" s="38"/>
      <c r="Q51" s="62"/>
      <c r="S51" s="37"/>
    </row>
    <row r="52" spans="2:19" x14ac:dyDescent="0.3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  <c r="S52" s="37"/>
    </row>
    <row r="53" spans="2:19" x14ac:dyDescent="0.3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  <c r="S53" s="37"/>
    </row>
    <row r="54" spans="2:19" x14ac:dyDescent="0.3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  <c r="S54" s="37"/>
    </row>
    <row r="55" spans="2:19" x14ac:dyDescent="0.3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  <c r="S55" s="37"/>
    </row>
    <row r="56" spans="2:19" x14ac:dyDescent="0.3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  <c r="S56" s="37"/>
    </row>
    <row r="57" spans="2:19" x14ac:dyDescent="0.3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  <c r="S57" s="37"/>
    </row>
    <row r="58" spans="2:19" x14ac:dyDescent="0.3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  <c r="S58" s="37"/>
    </row>
    <row r="59" spans="2:19" x14ac:dyDescent="0.3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  <c r="S59" s="37"/>
    </row>
    <row r="60" spans="2:19" x14ac:dyDescent="0.3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  <c r="S60" s="37"/>
    </row>
    <row r="61" spans="2:19" x14ac:dyDescent="0.3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  <c r="S61" s="37"/>
    </row>
    <row r="62" spans="2:19" x14ac:dyDescent="0.3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  <c r="S62" s="37"/>
    </row>
    <row r="63" spans="2:19" x14ac:dyDescent="0.3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  <c r="S63" s="37"/>
    </row>
    <row r="64" spans="2:19" x14ac:dyDescent="0.3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  <c r="S64" s="37"/>
    </row>
    <row r="65" spans="2:17" x14ac:dyDescent="0.3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35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  <c r="M69" s="88" t="s">
        <v>285</v>
      </c>
    </row>
    <row r="70" spans="2:17" x14ac:dyDescent="0.3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  <c r="M70" s="88">
        <f>6.5*0.01</f>
        <v>6.5000000000000002E-2</v>
      </c>
    </row>
    <row r="71" spans="2:17" x14ac:dyDescent="0.3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-61294659.022799999</v>
      </c>
    </row>
    <row r="76" spans="2:17" x14ac:dyDescent="0.3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/>
      <c r="I76" s="11"/>
      <c r="P76"/>
      <c r="Q76"/>
    </row>
    <row r="77" spans="2:17" x14ac:dyDescent="0.3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/>
      <c r="I77" s="11"/>
      <c r="P77"/>
      <c r="Q77"/>
    </row>
    <row r="78" spans="2:17" x14ac:dyDescent="0.3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35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">
      <c r="D80" s="1" t="s">
        <v>192</v>
      </c>
      <c r="E80" s="1" t="s">
        <v>193</v>
      </c>
      <c r="G80" s="2"/>
      <c r="H80" s="2"/>
    </row>
    <row r="81" spans="2:17" x14ac:dyDescent="0.3">
      <c r="B81" s="1" t="s">
        <v>152</v>
      </c>
      <c r="D81" s="88"/>
    </row>
    <row r="82" spans="2:17" x14ac:dyDescent="0.3">
      <c r="B82" s="1" t="s">
        <v>153</v>
      </c>
      <c r="H82" s="2"/>
    </row>
    <row r="83" spans="2:17" x14ac:dyDescent="0.3">
      <c r="B83" s="1" t="s">
        <v>155</v>
      </c>
      <c r="H83" s="2"/>
    </row>
    <row r="86" spans="2:17" x14ac:dyDescent="0.3">
      <c r="B86" s="1" t="s">
        <v>357</v>
      </c>
    </row>
    <row r="87" spans="2:17" x14ac:dyDescent="0.3">
      <c r="K87" s="1" t="s">
        <v>380</v>
      </c>
      <c r="M87" s="1" t="s">
        <v>379</v>
      </c>
      <c r="O87" s="1" t="s">
        <v>382</v>
      </c>
      <c r="Q87" s="1" t="s">
        <v>381</v>
      </c>
    </row>
    <row r="88" spans="2:17" x14ac:dyDescent="0.3">
      <c r="B88" s="1" t="s">
        <v>358</v>
      </c>
      <c r="C88" s="138">
        <f>SUM(D4:D27)</f>
        <v>240574.55000000005</v>
      </c>
      <c r="E88" s="1" t="s">
        <v>363</v>
      </c>
      <c r="F88" s="138" cm="1">
        <f t="array" ref="F88">SUM(D4:D27*E4:E27)</f>
        <v>528226.62545000017</v>
      </c>
      <c r="H88" s="1" t="s">
        <v>368</v>
      </c>
      <c r="I88" s="138" cm="1">
        <f t="array" ref="I88">SUM(D4:D27*F4:F27)</f>
        <v>369758.63781500002</v>
      </c>
      <c r="K88" s="138">
        <f>SUMPRODUCT(D4:D27,E4:E27)/SUM(D4:D27)</f>
        <v>2.1956878873929102</v>
      </c>
      <c r="M88" s="138">
        <f>K88*C88</f>
        <v>528226.62545000017</v>
      </c>
      <c r="O88" s="138">
        <f>SUMPRODUCT(D4:D27,F4:F27)/SUM(D4:D27)</f>
        <v>1.5369815211750368</v>
      </c>
      <c r="Q88" s="138">
        <f>O88*C88</f>
        <v>369758.63781500002</v>
      </c>
    </row>
    <row r="89" spans="2:17" x14ac:dyDescent="0.3">
      <c r="B89" s="1" t="s">
        <v>359</v>
      </c>
      <c r="C89" s="138">
        <f>SUM(D28:D32)</f>
        <v>3223711</v>
      </c>
      <c r="E89" s="1" t="s">
        <v>364</v>
      </c>
      <c r="F89" s="138" cm="1">
        <f t="array" ref="F89">SUM(D28:D32*E28:E32)</f>
        <v>1877590.3519999997</v>
      </c>
      <c r="H89" s="1" t="s">
        <v>369</v>
      </c>
      <c r="I89" s="138" cm="1">
        <f t="array" ref="I89">SUM(D28:D32*F28:F32)</f>
        <v>1905226.9779699999</v>
      </c>
      <c r="K89" s="138">
        <f>SUMPRODUCT(D29:D32,E29:E32)/SUM(D29:D32)</f>
        <v>1.3303347138496227</v>
      </c>
      <c r="M89" s="138">
        <f t="shared" ref="M89:M92" si="3">K89*C89</f>
        <v>4288614.6507188808</v>
      </c>
      <c r="O89" s="138">
        <f>SUMPRODUCT(D28:D32,F28:F32)/SUM(D28:D32)</f>
        <v>0.59100427363681174</v>
      </c>
      <c r="Q89" s="138">
        <f>O89*C89</f>
        <v>1905226.9779700001</v>
      </c>
    </row>
    <row r="90" spans="2:17" x14ac:dyDescent="0.3">
      <c r="B90" s="1" t="s">
        <v>360</v>
      </c>
      <c r="C90" s="138">
        <f>SUM(D33:D40)</f>
        <v>18642746</v>
      </c>
      <c r="E90" s="1" t="s">
        <v>365</v>
      </c>
      <c r="F90" s="138" cm="1">
        <f t="array" ref="F90">SUM(D33:D40*E33:E40)</f>
        <v>39445016.509999998</v>
      </c>
      <c r="H90" s="1" t="s">
        <v>370</v>
      </c>
      <c r="I90" s="138" cm="1">
        <f t="array" ref="I90">SUM(D33:D40*F33:F40)</f>
        <v>27745756.957399998</v>
      </c>
      <c r="K90" s="138">
        <f>SUMPRODUCT(D33:D40,E33:E40)/SUM(D33:D40)</f>
        <v>2.1158372543401063</v>
      </c>
      <c r="M90" s="138">
        <f t="shared" si="3"/>
        <v>39445016.509999998</v>
      </c>
      <c r="O90" s="138">
        <f>SUMPRODUCT(D33:D40,F33:F40)/SUM(D33:D40)</f>
        <v>1.4882870236712982</v>
      </c>
      <c r="Q90" s="138">
        <f>O90*C90</f>
        <v>27745756.957399998</v>
      </c>
    </row>
    <row r="91" spans="2:17" x14ac:dyDescent="0.3">
      <c r="B91" s="1" t="s">
        <v>361</v>
      </c>
      <c r="C91" s="138">
        <f>SUM(D41:D57)</f>
        <v>6692984</v>
      </c>
      <c r="E91" s="1" t="s">
        <v>366</v>
      </c>
      <c r="F91" s="138" cm="1">
        <f t="array" ref="F91">SUM(D41:D57*E41:E57)</f>
        <v>8028278.8500000006</v>
      </c>
      <c r="H91" s="1" t="s">
        <v>371</v>
      </c>
      <c r="I91" s="138" cm="1">
        <f t="array" ref="I91">SUM(D41:D57*F41:F57)</f>
        <v>5708079.1300799996</v>
      </c>
      <c r="K91" s="138">
        <f>SUMPRODUCT(D41:D57,E41:E57)/SUM(D41:D57)</f>
        <v>1.1995066550286091</v>
      </c>
      <c r="M91" s="138">
        <f t="shared" si="3"/>
        <v>8028278.8500000006</v>
      </c>
      <c r="O91" s="138">
        <f>SUMPRODUCT(D41:D57,F41:F57)/SUM(D41:D57)</f>
        <v>0.85284517788777015</v>
      </c>
      <c r="Q91" s="138">
        <f>O91*C91</f>
        <v>5708079.1300799996</v>
      </c>
    </row>
    <row r="92" spans="2:17" x14ac:dyDescent="0.3">
      <c r="B92" s="1" t="s">
        <v>362</v>
      </c>
      <c r="C92" s="138">
        <f>SUM(D58:D76)</f>
        <v>9727258</v>
      </c>
      <c r="E92" s="1" t="s">
        <v>367</v>
      </c>
      <c r="F92" s="138" cm="1">
        <f t="array" ref="F92">SUM(D58:D76*E58:E76)</f>
        <v>13754406.152800001</v>
      </c>
      <c r="H92" s="1" t="s">
        <v>372</v>
      </c>
      <c r="I92" s="138" cm="1">
        <f t="array" ref="I92">SUM(D58:D76*F58:F76)</f>
        <v>11141983.814000003</v>
      </c>
      <c r="K92" s="138">
        <f>SUMPRODUCT(D58:D76,E58:E76)/SUM(D58:D76)</f>
        <v>1.4140065116808869</v>
      </c>
      <c r="M92" s="138">
        <f t="shared" si="3"/>
        <v>13754406.152799999</v>
      </c>
      <c r="O92" s="138">
        <f>SUMPRODUCT(D58:D76,F58:F76)/SUM(D58:D76)</f>
        <v>1.145439322571685</v>
      </c>
      <c r="Q92" s="138">
        <f>O92*C92</f>
        <v>11141983.814000003</v>
      </c>
    </row>
    <row r="93" spans="2:17" x14ac:dyDescent="0.3">
      <c r="C93" s="138"/>
      <c r="F93" s="138"/>
      <c r="I93" s="138"/>
      <c r="K93" s="1" t="s">
        <v>383</v>
      </c>
      <c r="M93" s="1" t="s">
        <v>379</v>
      </c>
      <c r="O93" s="1" t="s">
        <v>384</v>
      </c>
      <c r="Q93" s="1" t="s">
        <v>381</v>
      </c>
    </row>
    <row r="94" spans="2:17" x14ac:dyDescent="0.3">
      <c r="B94" s="1" t="s">
        <v>373</v>
      </c>
      <c r="C94" s="138">
        <f>SUM(L4:L17)</f>
        <v>112952.51999999999</v>
      </c>
      <c r="E94" s="1" t="s">
        <v>387</v>
      </c>
      <c r="F94" s="138" cm="1">
        <f t="array" ref="F94">SUM(L4:L17*M4:M17)</f>
        <v>196584.24189999999</v>
      </c>
      <c r="H94" s="1" t="s">
        <v>393</v>
      </c>
      <c r="I94" s="138" cm="1">
        <f t="array" ref="I94">SUM(L4:L17*O4:O17)</f>
        <v>133298.61836846152</v>
      </c>
      <c r="K94" s="138">
        <f>SUMPRODUCT(L4:L17,M4:M17)/SUM(L4:L17)</f>
        <v>1.740414838907534</v>
      </c>
      <c r="M94" s="138">
        <f>K94*C94</f>
        <v>196584.24189999999</v>
      </c>
      <c r="O94" s="138">
        <f>SUMPRODUCT(L4:L17,O4:O17)/SUM(L4:L17)</f>
        <v>1.1801296541986097</v>
      </c>
      <c r="Q94" s="138">
        <f>O94*C94</f>
        <v>133298.61836846152</v>
      </c>
    </row>
    <row r="95" spans="2:17" x14ac:dyDescent="0.3">
      <c r="B95" s="1" t="s">
        <v>374</v>
      </c>
      <c r="C95" s="138">
        <f>SUM(L18:L22)</f>
        <v>3319903</v>
      </c>
      <c r="E95" s="1" t="s">
        <v>388</v>
      </c>
      <c r="F95" s="138" cm="1">
        <f t="array" ref="F95">SUM(L18:L22*M18:M22)</f>
        <v>2489618.9618799998</v>
      </c>
      <c r="H95" s="1" t="s">
        <v>394</v>
      </c>
      <c r="I95" s="138" cm="1">
        <f t="array" ref="I95">SUM(L18:L22*O18:O22)</f>
        <v>1908077.8488700001</v>
      </c>
      <c r="K95" s="138">
        <f>SUMPRODUCT(L18:L22,M18:M22)/SUM(L18:L22)</f>
        <v>0.74990713941943477</v>
      </c>
      <c r="M95" s="138">
        <f t="shared" ref="M95:M98" si="4">K95*C95</f>
        <v>2489618.9618799998</v>
      </c>
      <c r="O95" s="138">
        <f>SUMPRODUCT(L18:L22,O18:O22)/SUM(L18:L22)</f>
        <v>0.57473903570977825</v>
      </c>
      <c r="Q95" s="138">
        <f>O95*C95</f>
        <v>1908077.8488699999</v>
      </c>
    </row>
    <row r="96" spans="2:17" x14ac:dyDescent="0.3">
      <c r="B96" s="1" t="s">
        <v>375</v>
      </c>
      <c r="C96" s="138">
        <f>SUM(L23:L29)</f>
        <v>14624683</v>
      </c>
      <c r="E96" s="1" t="s">
        <v>389</v>
      </c>
      <c r="F96" s="138" cm="1">
        <f t="array" ref="F96">SUM(L23:L29*M23:M29)</f>
        <v>43389917.016709402</v>
      </c>
      <c r="H96" s="1" t="s">
        <v>395</v>
      </c>
      <c r="I96" s="138" cm="1">
        <f t="array" ref="I96">SUM(L23:L29*O23:O29)</f>
        <v>31393678.94368</v>
      </c>
      <c r="K96" s="138">
        <f>SUMPRODUCT(L23:L29,M23:M29)/SUM(L23:L29)</f>
        <v>2.9668962408764279</v>
      </c>
      <c r="M96" s="138">
        <f t="shared" si="4"/>
        <v>43389917.016709402</v>
      </c>
      <c r="O96" s="138">
        <f>SUMPRODUCT(L23:L29,O23:O29)/SUM(L23:L29)</f>
        <v>2.1466228665387139</v>
      </c>
      <c r="Q96" s="138">
        <f>O96*C96</f>
        <v>31393678.94368</v>
      </c>
    </row>
    <row r="97" spans="2:17" x14ac:dyDescent="0.3">
      <c r="B97" s="1" t="s">
        <v>376</v>
      </c>
      <c r="C97" s="138">
        <f>SUM(L30:L45)</f>
        <v>6470002</v>
      </c>
      <c r="E97" s="1" t="s">
        <v>390</v>
      </c>
      <c r="F97" s="138" cm="1">
        <f t="array" ref="F97">SUM(L30:L45*M30:M45)</f>
        <v>9386776.6740170922</v>
      </c>
      <c r="H97" s="1" t="s">
        <v>396</v>
      </c>
      <c r="I97" s="138" cm="1">
        <f t="array" ref="I97">SUM(L30:L45*O30:O45)</f>
        <v>7327637.1359800007</v>
      </c>
      <c r="K97" s="138">
        <f>SUMPRODUCT(L30:L45,M30:M45)/SUM(L30:L45)</f>
        <v>1.4508151116517571</v>
      </c>
      <c r="M97" s="138">
        <f t="shared" si="4"/>
        <v>9386776.6740170922</v>
      </c>
      <c r="O97" s="138">
        <f>SUMPRODUCT(L30:L45,O30:O45)/SUM(L30:L45)</f>
        <v>1.1325556214634864</v>
      </c>
      <c r="Q97" s="138">
        <f>O97*C97</f>
        <v>7327637.1359799998</v>
      </c>
    </row>
    <row r="98" spans="2:17" x14ac:dyDescent="0.3">
      <c r="B98" s="1" t="s">
        <v>377</v>
      </c>
      <c r="C98" s="138">
        <f>SUM(L46:L64)</f>
        <v>9655208.9900000002</v>
      </c>
      <c r="E98" s="1" t="s">
        <v>391</v>
      </c>
      <c r="F98" s="138" cm="1">
        <f t="array" ref="F98">SUM(L46:L64*M46:M64)</f>
        <v>15581855.327799987</v>
      </c>
      <c r="H98" s="1" t="s">
        <v>392</v>
      </c>
      <c r="I98" s="138" cm="1">
        <f t="array" ref="I98">SUM(L46:L64*O46:O64)</f>
        <v>11997868.349595502</v>
      </c>
      <c r="K98" s="138">
        <f>SUMPRODUCT(L46:L64,M46:M64)/SUM(L46:L64)</f>
        <v>1.6138289025062302</v>
      </c>
      <c r="M98" s="138">
        <f t="shared" si="4"/>
        <v>15581855.327799989</v>
      </c>
      <c r="O98" s="138">
        <f>SUMPRODUCT(L46:L64,O46:O64)/SUM(L46:L64)</f>
        <v>1.2426316573801581</v>
      </c>
      <c r="Q98" s="138">
        <f>O98*C98</f>
        <v>11997868.349595502</v>
      </c>
    </row>
    <row r="101" spans="2:17" x14ac:dyDescent="0.3">
      <c r="C101" s="138"/>
    </row>
    <row r="1048576" spans="16384:16384" x14ac:dyDescent="0.3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L67"/>
  <sheetViews>
    <sheetView topLeftCell="A14" zoomScale="60" zoomScaleNormal="60" workbookViewId="0">
      <selection activeCell="F54" sqref="F54"/>
    </sheetView>
  </sheetViews>
  <sheetFormatPr defaultRowHeight="14.4" x14ac:dyDescent="0.3"/>
  <cols>
    <col min="2" max="2" width="18.77734375" bestFit="1" customWidth="1"/>
    <col min="3" max="3" width="10" customWidth="1"/>
    <col min="4" max="5" width="19.5546875" bestFit="1" customWidth="1"/>
    <col min="6" max="6" width="19.5546875" customWidth="1"/>
    <col min="7" max="7" width="16.44140625" bestFit="1" customWidth="1"/>
    <col min="8" max="8" width="8.44140625" bestFit="1" customWidth="1"/>
    <col min="9" max="9" width="38.5546875" bestFit="1" customWidth="1"/>
    <col min="11" max="11" width="33" customWidth="1"/>
    <col min="12" max="12" width="12.55468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  <c r="I1" s="96"/>
    </row>
    <row r="2" spans="1:9" x14ac:dyDescent="0.3">
      <c r="A2" s="96"/>
      <c r="B2" s="96" t="s">
        <v>110</v>
      </c>
      <c r="C2" s="96" t="s">
        <v>124</v>
      </c>
      <c r="D2" s="96" t="s">
        <v>195</v>
      </c>
      <c r="E2" s="96" t="s">
        <v>196</v>
      </c>
      <c r="F2" s="96" t="s">
        <v>286</v>
      </c>
      <c r="G2" s="96" t="s">
        <v>197</v>
      </c>
      <c r="H2" s="96" t="s">
        <v>203</v>
      </c>
      <c r="I2" s="96" t="s">
        <v>198</v>
      </c>
    </row>
    <row r="3" spans="1:9" x14ac:dyDescent="0.3">
      <c r="A3" s="96"/>
      <c r="B3" s="96" t="str">
        <f>Ricavi!J4</f>
        <v>MP1</v>
      </c>
      <c r="C3" s="96" t="str">
        <f>Ricavi!K4</f>
        <v>MP</v>
      </c>
      <c r="D3" s="96">
        <f>Ricavi!L4</f>
        <v>48000</v>
      </c>
      <c r="E3" s="96">
        <f>Ricavi!M4</f>
        <v>0.93</v>
      </c>
      <c r="F3" s="96">
        <f>Ricavi!O4</f>
        <v>0.59257692307692311</v>
      </c>
      <c r="G3" s="96">
        <f t="shared" ref="G3:G64" si="0">D3*E3</f>
        <v>44640</v>
      </c>
      <c r="H3" s="96" t="s">
        <v>115</v>
      </c>
      <c r="I3" s="96"/>
    </row>
    <row r="4" spans="1:9" x14ac:dyDescent="0.3">
      <c r="A4" s="96"/>
      <c r="B4" s="96" t="str">
        <f>Ricavi!J5</f>
        <v>MP2</v>
      </c>
      <c r="C4" s="96" t="str">
        <f>Ricavi!K5</f>
        <v>MP</v>
      </c>
      <c r="D4" s="96">
        <f>Ricavi!L5</f>
        <v>700</v>
      </c>
      <c r="E4" s="96">
        <f>Ricavi!M5</f>
        <v>4</v>
      </c>
      <c r="F4" s="96">
        <f>Ricavi!O5</f>
        <v>2.5487179487179485</v>
      </c>
      <c r="G4" s="96">
        <f t="shared" si="0"/>
        <v>2800</v>
      </c>
      <c r="H4" s="96" t="s">
        <v>115</v>
      </c>
      <c r="I4" s="96"/>
    </row>
    <row r="5" spans="1:9" x14ac:dyDescent="0.3">
      <c r="A5" s="96"/>
      <c r="B5" s="96" t="str">
        <f>Ricavi!J6</f>
        <v>MP3</v>
      </c>
      <c r="C5" s="96" t="str">
        <f>Ricavi!K6</f>
        <v>MP</v>
      </c>
      <c r="D5" s="96">
        <f>Ricavi!L6</f>
        <v>1100</v>
      </c>
      <c r="E5" s="96">
        <f>Ricavi!M6</f>
        <v>2.4</v>
      </c>
      <c r="F5" s="96">
        <f>Ricavi!O6</f>
        <v>1.5292307692307692</v>
      </c>
      <c r="G5" s="96">
        <f t="shared" si="0"/>
        <v>2640</v>
      </c>
      <c r="H5" s="96" t="s">
        <v>115</v>
      </c>
      <c r="I5" s="96"/>
    </row>
    <row r="6" spans="1:9" x14ac:dyDescent="0.3">
      <c r="A6" s="96"/>
      <c r="B6" s="96" t="str">
        <f>Ricavi!J7</f>
        <v>MP4</v>
      </c>
      <c r="C6" s="96" t="str">
        <f>Ricavi!K7</f>
        <v>MP</v>
      </c>
      <c r="D6" s="96">
        <f>Ricavi!L7</f>
        <v>125</v>
      </c>
      <c r="E6" s="96">
        <f>Ricavi!M7</f>
        <v>4</v>
      </c>
      <c r="F6" s="96">
        <f>Ricavi!O7</f>
        <v>2.5487179487179485</v>
      </c>
      <c r="G6" s="96">
        <f t="shared" si="0"/>
        <v>500</v>
      </c>
      <c r="H6" s="96" t="s">
        <v>115</v>
      </c>
      <c r="I6" s="96"/>
    </row>
    <row r="7" spans="1:9" x14ac:dyDescent="0.3">
      <c r="A7" s="96"/>
      <c r="B7" s="96" t="str">
        <f>Ricavi!J8</f>
        <v>MP5</v>
      </c>
      <c r="C7" s="96" t="str">
        <f>Ricavi!K8</f>
        <v>MP</v>
      </c>
      <c r="D7" s="96">
        <f>Ricavi!L8</f>
        <v>1925</v>
      </c>
      <c r="E7" s="96">
        <f>Ricavi!M8</f>
        <v>2.9058441558441559</v>
      </c>
      <c r="F7" s="96">
        <f>Ricavi!O8</f>
        <v>1.8515442890442888</v>
      </c>
      <c r="G7" s="96">
        <f t="shared" si="0"/>
        <v>5593.75</v>
      </c>
      <c r="H7" s="96" t="s">
        <v>115</v>
      </c>
      <c r="I7" s="96"/>
    </row>
    <row r="8" spans="1:9" x14ac:dyDescent="0.3">
      <c r="A8" s="96"/>
      <c r="B8" s="96" t="str">
        <f>Ricavi!J9</f>
        <v>MP6</v>
      </c>
      <c r="C8" s="96" t="str">
        <f>Ricavi!K9</f>
        <v>MP</v>
      </c>
      <c r="D8" s="96">
        <f>Ricavi!L9</f>
        <v>125</v>
      </c>
      <c r="E8" s="96">
        <f>Ricavi!M9</f>
        <v>4.4000000000000004</v>
      </c>
      <c r="F8" s="96">
        <f>Ricavi!O9</f>
        <v>2.8035897435897441</v>
      </c>
      <c r="G8" s="96">
        <f t="shared" si="0"/>
        <v>550</v>
      </c>
      <c r="H8" s="96" t="s">
        <v>115</v>
      </c>
      <c r="I8" s="96"/>
    </row>
    <row r="9" spans="1:9" x14ac:dyDescent="0.3">
      <c r="A9" s="96"/>
      <c r="B9" s="96" t="str">
        <f>Ricavi!J10</f>
        <v>MP7</v>
      </c>
      <c r="C9" s="96" t="str">
        <f>Ricavi!K10</f>
        <v>MP</v>
      </c>
      <c r="D9" s="96">
        <f>Ricavi!L10</f>
        <v>2000</v>
      </c>
      <c r="E9" s="96">
        <f>Ricavi!M10</f>
        <v>4.62</v>
      </c>
      <c r="F9" s="96">
        <f>Ricavi!O10</f>
        <v>2.9437692307692309</v>
      </c>
      <c r="G9" s="96">
        <f t="shared" si="0"/>
        <v>9240</v>
      </c>
      <c r="H9" s="96" t="s">
        <v>115</v>
      </c>
      <c r="I9" s="96"/>
    </row>
    <row r="10" spans="1:9" x14ac:dyDescent="0.3">
      <c r="A10" s="96"/>
      <c r="B10" s="96" t="str">
        <f>Ricavi!J11</f>
        <v>MP8</v>
      </c>
      <c r="C10" s="96" t="str">
        <f>Ricavi!K11</f>
        <v>MP</v>
      </c>
      <c r="D10" s="96">
        <f>Ricavi!L11</f>
        <v>1000</v>
      </c>
      <c r="E10" s="96">
        <f>Ricavi!M11</f>
        <v>2.65</v>
      </c>
      <c r="F10" s="96">
        <f>Ricavi!O11</f>
        <v>1.6885256410256408</v>
      </c>
      <c r="G10" s="96">
        <f t="shared" si="0"/>
        <v>2650</v>
      </c>
      <c r="H10" s="96" t="s">
        <v>115</v>
      </c>
      <c r="I10" s="96"/>
    </row>
    <row r="11" spans="1:9" x14ac:dyDescent="0.3">
      <c r="A11" s="96"/>
      <c r="B11" s="96" t="str">
        <f>Ricavi!J12</f>
        <v>MP9</v>
      </c>
      <c r="C11" s="96" t="str">
        <f>Ricavi!K12</f>
        <v>MP</v>
      </c>
      <c r="D11" s="96">
        <f>Ricavi!L12</f>
        <v>7000</v>
      </c>
      <c r="E11" s="96">
        <f>Ricavi!M12</f>
        <v>0.19</v>
      </c>
      <c r="F11" s="96">
        <f>Ricavi!O12</f>
        <v>0.13299999999999998</v>
      </c>
      <c r="G11" s="96">
        <f t="shared" si="0"/>
        <v>1330</v>
      </c>
      <c r="H11" s="96" t="s">
        <v>115</v>
      </c>
      <c r="I11" s="96"/>
    </row>
    <row r="12" spans="1:9" x14ac:dyDescent="0.3">
      <c r="A12" s="96"/>
      <c r="B12" s="96" t="str">
        <f>Ricavi!J13</f>
        <v>MP10</v>
      </c>
      <c r="C12" s="96" t="str">
        <f>Ricavi!K13</f>
        <v>MP</v>
      </c>
      <c r="D12" s="96">
        <f>Ricavi!L13</f>
        <v>34866.400000000001</v>
      </c>
      <c r="E12" s="96">
        <f>Ricavi!M13</f>
        <v>0.50710643771654074</v>
      </c>
      <c r="F12" s="96">
        <f>Ricavi!O13</f>
        <v>0.35497450640157852</v>
      </c>
      <c r="G12" s="96">
        <f t="shared" si="0"/>
        <v>17680.975899999998</v>
      </c>
      <c r="H12" s="96" t="s">
        <v>115</v>
      </c>
      <c r="I12" s="96"/>
    </row>
    <row r="13" spans="1:9" x14ac:dyDescent="0.3">
      <c r="A13" s="96"/>
      <c r="B13" s="96" t="str">
        <f>Ricavi!J14</f>
        <v>MP11</v>
      </c>
      <c r="C13" s="96" t="str">
        <f>Ricavi!K14</f>
        <v>MP</v>
      </c>
      <c r="D13" s="96">
        <f>Ricavi!L14</f>
        <v>14037.12</v>
      </c>
      <c r="E13" s="96">
        <f>Ricavi!M14</f>
        <v>7.4104528564263887</v>
      </c>
      <c r="F13" s="96">
        <f>Ricavi!O14</f>
        <v>5.1873169994984716</v>
      </c>
      <c r="G13" s="96">
        <f t="shared" si="0"/>
        <v>104021.416</v>
      </c>
      <c r="H13" s="96" t="s">
        <v>115</v>
      </c>
      <c r="I13" s="96"/>
    </row>
    <row r="14" spans="1:9" x14ac:dyDescent="0.3">
      <c r="A14" s="96"/>
      <c r="B14" s="96" t="str">
        <f>Ricavi!J15</f>
        <v>MP12</v>
      </c>
      <c r="C14" s="96" t="str">
        <f>Ricavi!K15</f>
        <v>MP</v>
      </c>
      <c r="D14" s="96">
        <f>Ricavi!L15</f>
        <v>1904</v>
      </c>
      <c r="E14" s="96">
        <f>Ricavi!M15</f>
        <v>1.4275735294117646</v>
      </c>
      <c r="F14" s="96">
        <f>Ricavi!O15</f>
        <v>0.99930147058823504</v>
      </c>
      <c r="G14" s="96">
        <f t="shared" si="0"/>
        <v>2718.1</v>
      </c>
      <c r="H14" s="96" t="s">
        <v>115</v>
      </c>
      <c r="I14" s="96"/>
    </row>
    <row r="15" spans="1:9" x14ac:dyDescent="0.3">
      <c r="A15" s="96"/>
      <c r="B15" s="96" t="str">
        <f>Ricavi!J16</f>
        <v>MP13</v>
      </c>
      <c r="C15" s="96" t="str">
        <f>Ricavi!K16</f>
        <v>MP</v>
      </c>
      <c r="D15" s="96">
        <f>Ricavi!L16</f>
        <v>150</v>
      </c>
      <c r="E15" s="96">
        <f>Ricavi!M16</f>
        <v>13</v>
      </c>
      <c r="F15" s="96">
        <f>Ricavi!O16</f>
        <v>9.1</v>
      </c>
      <c r="G15" s="96">
        <f t="shared" si="0"/>
        <v>1950</v>
      </c>
      <c r="H15" s="96" t="s">
        <v>115</v>
      </c>
      <c r="I15" s="96"/>
    </row>
    <row r="16" spans="1:9" x14ac:dyDescent="0.3">
      <c r="A16" s="96"/>
      <c r="B16" s="96" t="str">
        <f>Ricavi!J17</f>
        <v>MP14</v>
      </c>
      <c r="C16" s="96" t="str">
        <f>Ricavi!K17</f>
        <v>MP</v>
      </c>
      <c r="D16" s="96">
        <f>Ricavi!L17</f>
        <v>20</v>
      </c>
      <c r="E16" s="96">
        <f>Ricavi!M17</f>
        <v>13.5</v>
      </c>
      <c r="F16" s="96">
        <f>Ricavi!O17</f>
        <v>9.4499999999999993</v>
      </c>
      <c r="G16" s="96">
        <f t="shared" si="0"/>
        <v>270</v>
      </c>
      <c r="H16" s="96" t="s">
        <v>115</v>
      </c>
      <c r="I16" s="96">
        <f>SUM(G22:G63)</f>
        <v>68358549.018526509</v>
      </c>
    </row>
    <row r="17" spans="1:12" x14ac:dyDescent="0.3">
      <c r="A17" s="96"/>
      <c r="B17" s="96" t="str">
        <f>Ricavi!J18</f>
        <v>PCL1</v>
      </c>
      <c r="C17" s="96" t="str">
        <f>Ricavi!K18</f>
        <v>PCL</v>
      </c>
      <c r="D17" s="96">
        <f>Ricavi!L18</f>
        <v>2160885</v>
      </c>
      <c r="E17" s="96">
        <f>Ricavi!M18</f>
        <v>0.11065878100870709</v>
      </c>
      <c r="F17" s="96">
        <f>Ricavi!O18</f>
        <v>0.06</v>
      </c>
      <c r="G17" s="96">
        <f t="shared" si="0"/>
        <v>239120.90000000002</v>
      </c>
      <c r="H17" s="96" t="s">
        <v>116</v>
      </c>
      <c r="I17" s="96"/>
      <c r="K17" s="96"/>
    </row>
    <row r="18" spans="1:12" x14ac:dyDescent="0.3">
      <c r="A18" s="96"/>
      <c r="B18" s="96" t="str">
        <f>Ricavi!J19</f>
        <v>PCL2</v>
      </c>
      <c r="C18" s="96" t="str">
        <f>Ricavi!K19</f>
        <v>PCL</v>
      </c>
      <c r="D18" s="96">
        <f>Ricavi!L19</f>
        <v>168325</v>
      </c>
      <c r="E18" s="96">
        <f>Ricavi!M19</f>
        <v>0.63902212980840634</v>
      </c>
      <c r="F18" s="96">
        <f>Ricavi!O19</f>
        <v>0.45</v>
      </c>
      <c r="G18" s="96">
        <f t="shared" si="0"/>
        <v>107563.4</v>
      </c>
      <c r="H18" s="96" t="s">
        <v>116</v>
      </c>
      <c r="I18" s="96"/>
    </row>
    <row r="19" spans="1:12" x14ac:dyDescent="0.3">
      <c r="A19" s="96"/>
      <c r="B19" s="96" t="str">
        <f>Ricavi!J20</f>
        <v>PCL3</v>
      </c>
      <c r="C19" s="96" t="str">
        <f>Ricavi!K20</f>
        <v>PCL</v>
      </c>
      <c r="D19" s="96">
        <f>Ricavi!L20</f>
        <v>495475</v>
      </c>
      <c r="E19" s="96">
        <f>Ricavi!M20</f>
        <v>1.6503165205106214</v>
      </c>
      <c r="F19" s="96">
        <f>Ricavi!O20</f>
        <v>1.2250024178212826</v>
      </c>
      <c r="G19" s="96">
        <f t="shared" si="0"/>
        <v>817690.5780000001</v>
      </c>
      <c r="H19" s="96" t="s">
        <v>116</v>
      </c>
      <c r="I19" s="96"/>
    </row>
    <row r="20" spans="1:12" x14ac:dyDescent="0.3">
      <c r="A20" s="96"/>
      <c r="B20" s="96" t="str">
        <f>Ricavi!J21</f>
        <v>PCL4</v>
      </c>
      <c r="C20" s="96" t="str">
        <f>Ricavi!K21</f>
        <v>PCL</v>
      </c>
      <c r="D20" s="96">
        <f>Ricavi!L21</f>
        <v>489058</v>
      </c>
      <c r="E20" s="96">
        <f>Ricavi!M21</f>
        <v>2.6814489976240035</v>
      </c>
      <c r="F20" s="96">
        <f>Ricavi!O21</f>
        <v>2.2169886391798115</v>
      </c>
      <c r="G20" s="96">
        <f t="shared" si="0"/>
        <v>1311384.0838799998</v>
      </c>
      <c r="H20" s="96" t="s">
        <v>116</v>
      </c>
      <c r="I20" s="96"/>
    </row>
    <row r="21" spans="1:12" x14ac:dyDescent="0.3">
      <c r="A21" s="96"/>
      <c r="B21" s="96" t="str">
        <f>Ricavi!J22</f>
        <v>PCL5</v>
      </c>
      <c r="C21" s="96" t="str">
        <f>Ricavi!K22</f>
        <v>PCL</v>
      </c>
      <c r="D21" s="96">
        <f>Ricavi!L22</f>
        <v>6160</v>
      </c>
      <c r="E21" s="96">
        <f>Ricavi!M22</f>
        <v>2.25</v>
      </c>
      <c r="F21" s="96">
        <f>Ricavi!O22</f>
        <v>1.8643499999999997</v>
      </c>
      <c r="G21" s="96">
        <f t="shared" si="0"/>
        <v>13860</v>
      </c>
      <c r="H21" s="96" t="s">
        <v>116</v>
      </c>
      <c r="I21" s="96"/>
    </row>
    <row r="22" spans="1:12" x14ac:dyDescent="0.3">
      <c r="A22" s="96"/>
      <c r="B22" s="96" t="str">
        <f>Ricavi!J23</f>
        <v>PF P1</v>
      </c>
      <c r="C22" s="96" t="str">
        <f>Ricavi!K23</f>
        <v>PF</v>
      </c>
      <c r="D22" s="96">
        <f>Ricavi!L23</f>
        <v>1719564</v>
      </c>
      <c r="E22" s="96">
        <f>Ricavi!M23</f>
        <v>3.2527355771579307</v>
      </c>
      <c r="F22" s="96">
        <f>Ricavi!O23</f>
        <v>2.2970083985533547</v>
      </c>
      <c r="G22" s="96">
        <f t="shared" si="0"/>
        <v>5593287</v>
      </c>
      <c r="H22" s="96" t="s">
        <v>204</v>
      </c>
      <c r="I22" s="96" t="s">
        <v>294</v>
      </c>
    </row>
    <row r="23" spans="1:12" x14ac:dyDescent="0.3">
      <c r="A23" s="96"/>
      <c r="B23" s="96" t="str">
        <f>Ricavi!J24</f>
        <v>PF P2</v>
      </c>
      <c r="C23" s="96" t="str">
        <f>Ricavi!K24</f>
        <v>PF</v>
      </c>
      <c r="D23" s="96">
        <f>Ricavi!L24</f>
        <v>292499</v>
      </c>
      <c r="E23" s="96">
        <f>Ricavi!M24</f>
        <v>3.2730881131217542</v>
      </c>
      <c r="F23" s="96">
        <f>Ricavi!O24</f>
        <v>2.2528709887555176</v>
      </c>
      <c r="G23" s="96">
        <f t="shared" si="0"/>
        <v>957375</v>
      </c>
      <c r="H23" s="96" t="s">
        <v>204</v>
      </c>
      <c r="I23" s="96"/>
    </row>
    <row r="24" spans="1:12" x14ac:dyDescent="0.3">
      <c r="A24" s="96"/>
      <c r="B24" s="96" t="str">
        <f>Ricavi!J25</f>
        <v>PF P3</v>
      </c>
      <c r="C24" s="96" t="str">
        <f>Ricavi!K25</f>
        <v>PF</v>
      </c>
      <c r="D24" s="96">
        <f>Ricavi!L25</f>
        <v>442800</v>
      </c>
      <c r="E24" s="96">
        <f>Ricavi!M25</f>
        <v>3.2317332881662151</v>
      </c>
      <c r="F24" s="96">
        <f>Ricavi!O25</f>
        <v>2.2767847363369467</v>
      </c>
      <c r="G24" s="96">
        <f t="shared" si="0"/>
        <v>1431011.5</v>
      </c>
      <c r="H24" s="96" t="s">
        <v>204</v>
      </c>
      <c r="I24" s="96"/>
      <c r="L24" s="96"/>
    </row>
    <row r="25" spans="1:12" x14ac:dyDescent="0.3">
      <c r="A25" s="96"/>
      <c r="B25" s="96" t="str">
        <f>Ricavi!J26</f>
        <v>PF P4</v>
      </c>
      <c r="C25" s="96" t="str">
        <f>Ricavi!K26</f>
        <v>PF</v>
      </c>
      <c r="D25" s="96">
        <f>Ricavi!L26</f>
        <v>8070474</v>
      </c>
      <c r="E25" s="96">
        <f>Ricavi!M26</f>
        <v>3.1339358772483501</v>
      </c>
      <c r="F25" s="96">
        <f>Ricavi!O26</f>
        <v>2.1581976957735072</v>
      </c>
      <c r="G25" s="96">
        <f t="shared" si="0"/>
        <v>25292348.015000001</v>
      </c>
      <c r="H25" s="96" t="s">
        <v>204</v>
      </c>
      <c r="I25" s="96"/>
    </row>
    <row r="26" spans="1:12" x14ac:dyDescent="0.3">
      <c r="A26" s="96"/>
      <c r="B26" s="96" t="str">
        <f>Ricavi!J27</f>
        <v>PF P5</v>
      </c>
      <c r="C26" s="96" t="str">
        <f>Ricavi!K27</f>
        <v>PF</v>
      </c>
      <c r="D26" s="96">
        <f>Ricavi!L27</f>
        <v>205850</v>
      </c>
      <c r="E26" s="96">
        <f>Ricavi!M27</f>
        <v>2.6884649639082481</v>
      </c>
      <c r="F26" s="96">
        <f>Ricavi!O27</f>
        <v>2.1592931114889486</v>
      </c>
      <c r="G26" s="96">
        <f t="shared" si="0"/>
        <v>553420.51282051287</v>
      </c>
      <c r="H26" s="96" t="s">
        <v>204</v>
      </c>
      <c r="I26" s="96"/>
    </row>
    <row r="27" spans="1:12" x14ac:dyDescent="0.3">
      <c r="A27" s="96"/>
      <c r="B27" s="96" t="str">
        <f>Ricavi!J28</f>
        <v>PF P6</v>
      </c>
      <c r="C27" s="96" t="str">
        <f>Ricavi!K28</f>
        <v>PF</v>
      </c>
      <c r="D27" s="96">
        <f>Ricavi!L28</f>
        <v>3233156</v>
      </c>
      <c r="E27" s="96">
        <f>Ricavi!M28</f>
        <v>2.761472347418092</v>
      </c>
      <c r="F27" s="96">
        <f>Ricavi!O28</f>
        <v>2.2976852023348089</v>
      </c>
      <c r="G27" s="96">
        <f t="shared" si="0"/>
        <v>8928270.8888888881</v>
      </c>
      <c r="H27" s="96" t="s">
        <v>204</v>
      </c>
      <c r="I27" s="96"/>
    </row>
    <row r="28" spans="1:12" x14ac:dyDescent="0.3">
      <c r="A28" s="96"/>
      <c r="B28" s="96" t="str">
        <f>Ricavi!J29</f>
        <v>PF P7</v>
      </c>
      <c r="C28" s="96" t="str">
        <f>Ricavi!K29</f>
        <v>PF</v>
      </c>
      <c r="D28" s="96">
        <f>Ricavi!L29</f>
        <v>660340</v>
      </c>
      <c r="E28" s="96">
        <f>Ricavi!M29</f>
        <v>0.96042054093345852</v>
      </c>
      <c r="F28" s="96">
        <f>Ricavi!O29</f>
        <v>0.7356204767241119</v>
      </c>
      <c r="G28" s="96">
        <f t="shared" si="0"/>
        <v>634204.1</v>
      </c>
      <c r="H28" s="96" t="s">
        <v>204</v>
      </c>
      <c r="I28" s="96"/>
      <c r="K28" s="96"/>
    </row>
    <row r="29" spans="1:12" x14ac:dyDescent="0.3">
      <c r="A29" s="96"/>
      <c r="B29" s="96" t="str">
        <f>Ricavi!J30</f>
        <v>PF V1</v>
      </c>
      <c r="C29" s="96" t="str">
        <f>Ricavi!K30</f>
        <v>PF</v>
      </c>
      <c r="D29" s="96">
        <f>Ricavi!L30</f>
        <v>509668</v>
      </c>
      <c r="E29" s="96">
        <f>Ricavi!M30</f>
        <v>1.4659810896505177</v>
      </c>
      <c r="F29" s="96">
        <f>Ricavi!O30</f>
        <v>1.1399042383473164</v>
      </c>
      <c r="G29" s="96">
        <f t="shared" si="0"/>
        <v>747163.65</v>
      </c>
      <c r="H29" s="96" t="s">
        <v>205</v>
      </c>
      <c r="I29" s="96" t="s">
        <v>295</v>
      </c>
      <c r="K29" s="96"/>
    </row>
    <row r="30" spans="1:12" x14ac:dyDescent="0.3">
      <c r="A30" s="96"/>
      <c r="B30" s="96" t="str">
        <f>Ricavi!J31</f>
        <v>PF V2</v>
      </c>
      <c r="C30" s="96" t="str">
        <f>Ricavi!K31</f>
        <v>PF</v>
      </c>
      <c r="D30" s="96">
        <f>Ricavi!L31</f>
        <v>2539984</v>
      </c>
      <c r="E30" s="96">
        <f>Ricavi!M31</f>
        <v>1.5574062198816996</v>
      </c>
      <c r="F30" s="96">
        <f>Ricavi!O31</f>
        <v>1.190501486698341</v>
      </c>
      <c r="G30" s="96">
        <f t="shared" si="0"/>
        <v>3955786.879999999</v>
      </c>
      <c r="H30" s="96" t="s">
        <v>205</v>
      </c>
      <c r="I30" s="96"/>
      <c r="K30" s="96"/>
    </row>
    <row r="31" spans="1:12" x14ac:dyDescent="0.3">
      <c r="A31" s="96"/>
      <c r="B31" s="96" t="str">
        <f>Ricavi!J32</f>
        <v>PF V3</v>
      </c>
      <c r="C31" s="96" t="str">
        <f>Ricavi!K32</f>
        <v>PF</v>
      </c>
      <c r="D31" s="96">
        <f>Ricavi!L32</f>
        <v>879638</v>
      </c>
      <c r="E31" s="96">
        <f>Ricavi!M32</f>
        <v>1.5255310138943521</v>
      </c>
      <c r="F31" s="96">
        <f>Ricavi!O32</f>
        <v>1.159534770973969</v>
      </c>
      <c r="G31" s="96">
        <f t="shared" si="0"/>
        <v>1341915.05</v>
      </c>
      <c r="H31" s="96" t="s">
        <v>205</v>
      </c>
      <c r="I31" s="96"/>
      <c r="K31" s="96"/>
    </row>
    <row r="32" spans="1:12" x14ac:dyDescent="0.3">
      <c r="A32" s="96"/>
      <c r="B32" s="96" t="str">
        <f>Ricavi!J33</f>
        <v>PF V4</v>
      </c>
      <c r="C32" s="96" t="str">
        <f>Ricavi!K33</f>
        <v>PF</v>
      </c>
      <c r="D32" s="96">
        <f>Ricavi!L33</f>
        <v>579689</v>
      </c>
      <c r="E32" s="96">
        <f>Ricavi!M33</f>
        <v>1.5588271124689272</v>
      </c>
      <c r="F32" s="96">
        <f>Ricavi!O33</f>
        <v>1.1870107720346599</v>
      </c>
      <c r="G32" s="96">
        <f t="shared" si="0"/>
        <v>903634.92999999993</v>
      </c>
      <c r="H32" s="96" t="s">
        <v>205</v>
      </c>
      <c r="I32" s="96"/>
      <c r="K32" s="96"/>
    </row>
    <row r="33" spans="1:9" x14ac:dyDescent="0.3">
      <c r="A33" s="96"/>
      <c r="B33" s="96" t="str">
        <f>Ricavi!J34</f>
        <v>PF V5</v>
      </c>
      <c r="C33" s="96" t="str">
        <f>Ricavi!K34</f>
        <v>PF</v>
      </c>
      <c r="D33" s="96">
        <f>Ricavi!L34</f>
        <v>448105</v>
      </c>
      <c r="E33" s="96">
        <f>Ricavi!M34</f>
        <v>1.4237468896798742</v>
      </c>
      <c r="F33" s="96">
        <f>Ricavi!O34</f>
        <v>1.1223359093292866</v>
      </c>
      <c r="G33" s="96">
        <f t="shared" si="0"/>
        <v>637988.1</v>
      </c>
      <c r="H33" s="96" t="s">
        <v>205</v>
      </c>
      <c r="I33" s="96"/>
    </row>
    <row r="34" spans="1:9" x14ac:dyDescent="0.3">
      <c r="A34" s="96"/>
      <c r="B34" s="96" t="str">
        <f>Ricavi!J35</f>
        <v>PF V6</v>
      </c>
      <c r="C34" s="96" t="str">
        <f>Ricavi!K35</f>
        <v>PF</v>
      </c>
      <c r="D34" s="96">
        <f>Ricavi!L35</f>
        <v>130100</v>
      </c>
      <c r="E34" s="96">
        <f>Ricavi!M35</f>
        <v>1.9231706379707918</v>
      </c>
      <c r="F34" s="96">
        <f>Ricavi!O35</f>
        <v>1.2489680491929285</v>
      </c>
      <c r="G34" s="96">
        <f t="shared" si="0"/>
        <v>250204.5</v>
      </c>
      <c r="H34" s="96" t="s">
        <v>205</v>
      </c>
      <c r="I34" s="96"/>
    </row>
    <row r="35" spans="1:9" x14ac:dyDescent="0.3">
      <c r="A35" s="96"/>
      <c r="B35" s="96" t="str">
        <f>Ricavi!J36</f>
        <v>PF V7</v>
      </c>
      <c r="C35" s="96" t="str">
        <f>Ricavi!K36</f>
        <v>PF</v>
      </c>
      <c r="D35" s="96">
        <f>Ricavi!L36</f>
        <v>13340</v>
      </c>
      <c r="E35" s="96">
        <f>Ricavi!M36</f>
        <v>1.1880509745127437</v>
      </c>
      <c r="F35" s="96">
        <f>Ricavi!O36</f>
        <v>0.55081494752623683</v>
      </c>
      <c r="G35" s="96">
        <f t="shared" si="0"/>
        <v>15848.6</v>
      </c>
      <c r="H35" s="96" t="s">
        <v>205</v>
      </c>
      <c r="I35" s="96"/>
    </row>
    <row r="36" spans="1:9" x14ac:dyDescent="0.3">
      <c r="A36" s="96"/>
      <c r="B36" s="96" t="str">
        <f>Ricavi!J37</f>
        <v>PF V8</v>
      </c>
      <c r="C36" s="96" t="str">
        <f>Ricavi!K37</f>
        <v>PF</v>
      </c>
      <c r="D36" s="96">
        <f>Ricavi!L37</f>
        <v>81820</v>
      </c>
      <c r="E36" s="96">
        <f>Ricavi!M37</f>
        <v>1.6966731850403327</v>
      </c>
      <c r="F36" s="96">
        <f>Ricavi!O37</f>
        <v>1.2888624835003668</v>
      </c>
      <c r="G36" s="96">
        <f t="shared" si="0"/>
        <v>138821.80000000002</v>
      </c>
      <c r="H36" s="96" t="s">
        <v>205</v>
      </c>
      <c r="I36" s="96"/>
    </row>
    <row r="37" spans="1:9" x14ac:dyDescent="0.3">
      <c r="A37" s="96"/>
      <c r="B37" s="96" t="str">
        <f>Ricavi!J38</f>
        <v>PF V9</v>
      </c>
      <c r="C37" s="96" t="str">
        <f>Ricavi!K38</f>
        <v>PF</v>
      </c>
      <c r="D37" s="96">
        <f>Ricavi!L38</f>
        <v>21040</v>
      </c>
      <c r="E37" s="96">
        <f>Ricavi!M38</f>
        <v>1.6010133079847908</v>
      </c>
      <c r="F37" s="96">
        <f>Ricavi!O38</f>
        <v>1.3689428422053231</v>
      </c>
      <c r="G37" s="96">
        <f t="shared" si="0"/>
        <v>33685.32</v>
      </c>
      <c r="H37" s="96" t="s">
        <v>205</v>
      </c>
      <c r="I37" s="96"/>
    </row>
    <row r="38" spans="1:9" x14ac:dyDescent="0.3">
      <c r="A38" s="96"/>
      <c r="B38" s="96" t="str">
        <f>Ricavi!J39</f>
        <v>PF V10</v>
      </c>
      <c r="C38" s="96" t="str">
        <f>Ricavi!K39</f>
        <v>PF</v>
      </c>
      <c r="D38" s="96">
        <f>Ricavi!L39</f>
        <v>14625</v>
      </c>
      <c r="E38" s="96">
        <f>Ricavi!M39</f>
        <v>1.6058974358974358</v>
      </c>
      <c r="F38" s="96">
        <f>Ricavi!O39</f>
        <v>1.2319166666666668</v>
      </c>
      <c r="G38" s="96">
        <f t="shared" si="0"/>
        <v>23486.25</v>
      </c>
      <c r="H38" s="96" t="s">
        <v>205</v>
      </c>
      <c r="I38" s="96"/>
    </row>
    <row r="39" spans="1:9" x14ac:dyDescent="0.3">
      <c r="A39" s="96"/>
      <c r="B39" s="96" t="str">
        <f>Ricavi!J40</f>
        <v>PF V11</v>
      </c>
      <c r="C39" s="96" t="str">
        <f>Ricavi!K40</f>
        <v>PF</v>
      </c>
      <c r="D39" s="96">
        <f>Ricavi!L40</f>
        <v>307868</v>
      </c>
      <c r="E39" s="96">
        <f>Ricavi!M40</f>
        <v>0.90408698855175917</v>
      </c>
      <c r="F39" s="96">
        <f>Ricavi!O40</f>
        <v>0.75997644847791901</v>
      </c>
      <c r="G39" s="96">
        <f t="shared" si="0"/>
        <v>278339.452991453</v>
      </c>
      <c r="H39" s="96" t="s">
        <v>205</v>
      </c>
      <c r="I39" s="96"/>
    </row>
    <row r="40" spans="1:9" x14ac:dyDescent="0.3">
      <c r="A40" s="96"/>
      <c r="B40" s="96" t="str">
        <f>Ricavi!J41</f>
        <v>PF V12</v>
      </c>
      <c r="C40" s="96" t="str">
        <f>Ricavi!K41</f>
        <v>PF</v>
      </c>
      <c r="D40" s="96">
        <f>Ricavi!L41</f>
        <v>7000</v>
      </c>
      <c r="E40" s="96">
        <f>Ricavi!M41</f>
        <v>1.1868131868131868</v>
      </c>
      <c r="F40" s="96">
        <f>Ricavi!O41</f>
        <v>1.1206985714285713</v>
      </c>
      <c r="G40" s="96">
        <f t="shared" si="0"/>
        <v>8307.6923076923085</v>
      </c>
      <c r="H40" s="96" t="s">
        <v>205</v>
      </c>
      <c r="I40" s="96"/>
    </row>
    <row r="41" spans="1:9" x14ac:dyDescent="0.3">
      <c r="A41" s="96"/>
      <c r="B41" s="96" t="str">
        <f>Ricavi!J42</f>
        <v>PF V13</v>
      </c>
      <c r="C41" s="96" t="str">
        <f>Ricavi!K42</f>
        <v>PF</v>
      </c>
      <c r="D41" s="96">
        <f>Ricavi!L42</f>
        <v>850145</v>
      </c>
      <c r="E41" s="96">
        <f>Ricavi!M42</f>
        <v>1.0863409575229324</v>
      </c>
      <c r="F41" s="96">
        <f>Ricavi!O42</f>
        <v>0.99127780878556027</v>
      </c>
      <c r="G41" s="96">
        <f t="shared" si="0"/>
        <v>923547.33333333337</v>
      </c>
      <c r="H41" s="96" t="s">
        <v>205</v>
      </c>
      <c r="I41" s="96"/>
    </row>
    <row r="42" spans="1:9" x14ac:dyDescent="0.3">
      <c r="A42" s="96"/>
      <c r="B42" s="96" t="str">
        <f>Ricavi!J43</f>
        <v>PF V14</v>
      </c>
      <c r="C42" s="96" t="str">
        <f>Ricavi!K43</f>
        <v>PF</v>
      </c>
      <c r="D42" s="96">
        <f>Ricavi!L43</f>
        <v>40480</v>
      </c>
      <c r="E42" s="96">
        <f>Ricavi!M43</f>
        <v>1.0868235025843722</v>
      </c>
      <c r="F42" s="96">
        <f>Ricavi!O43</f>
        <v>0.96538828063241089</v>
      </c>
      <c r="G42" s="96">
        <f t="shared" si="0"/>
        <v>43994.61538461539</v>
      </c>
      <c r="H42" s="96" t="s">
        <v>205</v>
      </c>
      <c r="I42" s="96"/>
    </row>
    <row r="43" spans="1:9" x14ac:dyDescent="0.3">
      <c r="A43" s="96"/>
      <c r="B43" s="96" t="str">
        <f>Ricavi!J44</f>
        <v>PF V15</v>
      </c>
      <c r="C43" s="96" t="str">
        <f>Ricavi!K44</f>
        <v>PF</v>
      </c>
      <c r="D43" s="96">
        <f>Ricavi!L44</f>
        <v>30000</v>
      </c>
      <c r="E43" s="96">
        <f>Ricavi!M44</f>
        <v>2.1413333333333333</v>
      </c>
      <c r="F43" s="96">
        <f>Ricavi!O44</f>
        <v>1.6941680000000001</v>
      </c>
      <c r="G43" s="96">
        <f t="shared" si="0"/>
        <v>64240</v>
      </c>
      <c r="H43" s="96" t="s">
        <v>205</v>
      </c>
      <c r="I43" s="96"/>
    </row>
    <row r="44" spans="1:9" x14ac:dyDescent="0.3">
      <c r="A44" s="96"/>
      <c r="B44" s="96" t="str">
        <f>Ricavi!J45</f>
        <v>PF V16</v>
      </c>
      <c r="C44" s="96" t="str">
        <f>Ricavi!K45</f>
        <v>PF</v>
      </c>
      <c r="D44" s="96">
        <f>Ricavi!L45</f>
        <v>16500</v>
      </c>
      <c r="E44" s="96">
        <f>Ricavi!M45</f>
        <v>1.2007575757575757</v>
      </c>
      <c r="F44" s="96">
        <f>Ricavi!O45</f>
        <v>0.9244603787878789</v>
      </c>
      <c r="G44" s="96">
        <f t="shared" si="0"/>
        <v>19812.5</v>
      </c>
      <c r="H44" s="96" t="s">
        <v>205</v>
      </c>
      <c r="I44" s="96"/>
    </row>
    <row r="45" spans="1:9" x14ac:dyDescent="0.3">
      <c r="A45" s="96"/>
      <c r="B45" s="96" t="str">
        <f>Ricavi!J46</f>
        <v>PF A1</v>
      </c>
      <c r="C45" s="96" t="str">
        <f>Ricavi!K46</f>
        <v>PF</v>
      </c>
      <c r="D45" s="96">
        <f>Ricavi!L46</f>
        <v>94290</v>
      </c>
      <c r="E45" s="96">
        <f>Ricavi!M46</f>
        <v>1.2885862763813767</v>
      </c>
      <c r="F45" s="96">
        <f>Ricavi!O46</f>
        <v>0</v>
      </c>
      <c r="G45" s="96">
        <f t="shared" si="0"/>
        <v>121500.8</v>
      </c>
      <c r="H45" s="96" t="s">
        <v>206</v>
      </c>
      <c r="I45" s="96" t="s">
        <v>207</v>
      </c>
    </row>
    <row r="46" spans="1:9" x14ac:dyDescent="0.3">
      <c r="A46" s="96"/>
      <c r="B46" s="96" t="str">
        <f>Ricavi!J47</f>
        <v>PF A2</v>
      </c>
      <c r="C46" s="96" t="str">
        <f>Ricavi!K47</f>
        <v>PF</v>
      </c>
      <c r="D46" s="96">
        <f>Ricavi!L47</f>
        <v>151620</v>
      </c>
      <c r="E46" s="96">
        <f>Ricavi!M47</f>
        <v>1.7877720617332806</v>
      </c>
      <c r="F46" s="96">
        <f>Ricavi!O47</f>
        <v>1.5182724627357869</v>
      </c>
      <c r="G46" s="96">
        <f t="shared" si="0"/>
        <v>271062</v>
      </c>
      <c r="H46" s="96" t="s">
        <v>206</v>
      </c>
      <c r="I46" s="96"/>
    </row>
    <row r="47" spans="1:9" x14ac:dyDescent="0.3">
      <c r="A47" s="96"/>
      <c r="B47" s="96" t="str">
        <f>Ricavi!J48</f>
        <v>PF A3</v>
      </c>
      <c r="C47" s="96" t="str">
        <f>Ricavi!K48</f>
        <v>PF</v>
      </c>
      <c r="D47" s="96">
        <f>Ricavi!L48</f>
        <v>411979</v>
      </c>
      <c r="E47" s="96">
        <f>Ricavi!M48</f>
        <v>1.8322972695210196</v>
      </c>
      <c r="F47" s="96">
        <f>Ricavi!O48</f>
        <v>1.4404786492029935</v>
      </c>
      <c r="G47" s="96">
        <f t="shared" si="0"/>
        <v>754867.99680000008</v>
      </c>
      <c r="H47" s="96" t="s">
        <v>206</v>
      </c>
      <c r="I47" s="96"/>
    </row>
    <row r="48" spans="1:9" x14ac:dyDescent="0.3">
      <c r="A48" s="96"/>
      <c r="B48" s="96" t="str">
        <f>Ricavi!J49</f>
        <v>PF A4</v>
      </c>
      <c r="C48" s="96" t="str">
        <f>Ricavi!K49</f>
        <v>PF</v>
      </c>
      <c r="D48" s="96">
        <f>Ricavi!L49</f>
        <v>1362839</v>
      </c>
      <c r="E48" s="96">
        <f>Ricavi!M49</f>
        <v>1.423482665456222</v>
      </c>
      <c r="F48" s="96">
        <f>Ricavi!O49</f>
        <v>1.3105806561670159</v>
      </c>
      <c r="G48" s="96">
        <f t="shared" si="0"/>
        <v>1939977.6923076923</v>
      </c>
      <c r="H48" s="96" t="s">
        <v>206</v>
      </c>
      <c r="I48" s="96"/>
    </row>
    <row r="49" spans="1:11" x14ac:dyDescent="0.3">
      <c r="A49" s="96"/>
      <c r="B49" s="96" t="str">
        <f>Ricavi!J50</f>
        <v>PF A5</v>
      </c>
      <c r="C49" s="96" t="str">
        <f>Ricavi!K50</f>
        <v>PF</v>
      </c>
      <c r="D49" s="96">
        <f>Ricavi!L50</f>
        <v>96425</v>
      </c>
      <c r="E49" s="96">
        <f>Ricavi!M50</f>
        <v>1.3552173980486142</v>
      </c>
      <c r="F49" s="96">
        <f>Ricavi!O50</f>
        <v>1.1837239694062742</v>
      </c>
      <c r="G49" s="96">
        <f t="shared" si="0"/>
        <v>130676.83760683762</v>
      </c>
      <c r="H49" s="96" t="s">
        <v>206</v>
      </c>
      <c r="I49" s="96"/>
    </row>
    <row r="50" spans="1:11" x14ac:dyDescent="0.3">
      <c r="A50" s="96"/>
      <c r="B50" s="96" t="str">
        <f>Ricavi!J51</f>
        <v>PF A6</v>
      </c>
      <c r="C50" s="96" t="str">
        <f>Ricavi!K51</f>
        <v>PF</v>
      </c>
      <c r="D50" s="96">
        <f>Ricavi!L51</f>
        <v>61100</v>
      </c>
      <c r="E50" s="96">
        <f>Ricavi!M51</f>
        <v>1.479172996488872</v>
      </c>
      <c r="F50" s="96">
        <f>Ricavi!O51</f>
        <v>1.2825347995090015</v>
      </c>
      <c r="G50" s="96">
        <f t="shared" si="0"/>
        <v>90377.470085470079</v>
      </c>
      <c r="H50" s="96" t="s">
        <v>206</v>
      </c>
      <c r="I50" s="96"/>
    </row>
    <row r="51" spans="1:11" x14ac:dyDescent="0.3">
      <c r="A51" s="96"/>
      <c r="B51" s="96" t="str">
        <f>Ricavi!J52</f>
        <v>PF A7</v>
      </c>
      <c r="C51" s="96" t="str">
        <f>Ricavi!K52</f>
        <v>PF</v>
      </c>
      <c r="D51" s="96">
        <f>Ricavi!L52</f>
        <v>2820458.99</v>
      </c>
      <c r="E51" s="96">
        <f>Ricavi!M52</f>
        <v>1.6397767269078427</v>
      </c>
      <c r="F51" s="96">
        <f>Ricavi!O52</f>
        <v>1.2408623742745859</v>
      </c>
      <c r="G51" s="96">
        <f t="shared" si="0"/>
        <v>4624923.0109999999</v>
      </c>
      <c r="H51" s="96" t="s">
        <v>206</v>
      </c>
      <c r="I51" s="96"/>
    </row>
    <row r="52" spans="1:11" x14ac:dyDescent="0.3">
      <c r="A52" s="96"/>
      <c r="B52" s="96" t="str">
        <f>Ricavi!J53</f>
        <v>PF A8</v>
      </c>
      <c r="C52" s="96" t="str">
        <f>Ricavi!K53</f>
        <v>PF</v>
      </c>
      <c r="D52" s="96">
        <f>Ricavi!L53</f>
        <v>157263</v>
      </c>
      <c r="E52" s="96">
        <f>Ricavi!M53</f>
        <v>1.6271923465786613</v>
      </c>
      <c r="F52" s="96">
        <f>Ricavi!O53</f>
        <v>1.1648880465207965</v>
      </c>
      <c r="G52" s="96">
        <f t="shared" si="0"/>
        <v>255897.15000000002</v>
      </c>
      <c r="H52" s="96" t="s">
        <v>206</v>
      </c>
      <c r="I52" s="96"/>
    </row>
    <row r="53" spans="1:11" x14ac:dyDescent="0.3">
      <c r="A53" s="96"/>
      <c r="B53" s="96" t="str">
        <f>Ricavi!J54</f>
        <v>PF A9</v>
      </c>
      <c r="C53" s="96" t="str">
        <f>Ricavi!K54</f>
        <v>PF</v>
      </c>
      <c r="D53" s="96">
        <f>Ricavi!L54</f>
        <v>261930</v>
      </c>
      <c r="E53" s="96">
        <f>Ricavi!M54</f>
        <v>1.5522070782270072</v>
      </c>
      <c r="F53" s="96">
        <f>Ricavi!O54</f>
        <v>1.0346569554842897</v>
      </c>
      <c r="G53" s="96">
        <f t="shared" si="0"/>
        <v>406569.6</v>
      </c>
      <c r="H53" s="96" t="s">
        <v>206</v>
      </c>
      <c r="I53" s="96"/>
    </row>
    <row r="54" spans="1:11" x14ac:dyDescent="0.3">
      <c r="A54" s="96"/>
      <c r="B54" s="96" t="str">
        <f>Ricavi!J55</f>
        <v>PF A10</v>
      </c>
      <c r="C54" s="96" t="str">
        <f>Ricavi!K55</f>
        <v>PF</v>
      </c>
      <c r="D54" s="96">
        <f>Ricavi!L55</f>
        <v>500680</v>
      </c>
      <c r="E54" s="96">
        <f>Ricavi!M55</f>
        <v>1.2455093073420147</v>
      </c>
      <c r="F54" s="96">
        <f>Ricavi!O55</f>
        <v>0.90018249700407449</v>
      </c>
      <c r="G54" s="96">
        <f t="shared" si="0"/>
        <v>623601.6</v>
      </c>
      <c r="H54" s="96" t="s">
        <v>206</v>
      </c>
      <c r="I54" s="96"/>
      <c r="K54" s="104" t="s">
        <v>296</v>
      </c>
    </row>
    <row r="55" spans="1:11" x14ac:dyDescent="0.3">
      <c r="A55" s="96"/>
      <c r="B55" s="96" t="str">
        <f>Ricavi!J56</f>
        <v>PF A11</v>
      </c>
      <c r="C55" s="96" t="str">
        <f>Ricavi!K56</f>
        <v>PF</v>
      </c>
      <c r="D55" s="96">
        <f>Ricavi!L56</f>
        <v>62569</v>
      </c>
      <c r="E55" s="96">
        <f>Ricavi!M56</f>
        <v>1.9325902603525706</v>
      </c>
      <c r="F55" s="96">
        <f>Ricavi!O56</f>
        <v>1.3611319394588377</v>
      </c>
      <c r="G55" s="96">
        <f t="shared" si="0"/>
        <v>120920.23999999999</v>
      </c>
      <c r="H55" s="96" t="s">
        <v>206</v>
      </c>
      <c r="I55" s="96"/>
      <c r="K55" s="105">
        <f>SUMIF($C$3:$C$63,"PF",$G$3:$G$63)</f>
        <v>68358549.018526509</v>
      </c>
    </row>
    <row r="56" spans="1:11" x14ac:dyDescent="0.3">
      <c r="A56" s="96"/>
      <c r="B56" s="96" t="str">
        <f>Ricavi!J57</f>
        <v>PF A12</v>
      </c>
      <c r="C56" s="96" t="str">
        <f>Ricavi!K57</f>
        <v>PF</v>
      </c>
      <c r="D56" s="96">
        <f>Ricavi!L57</f>
        <v>927765</v>
      </c>
      <c r="E56" s="96">
        <f>Ricavi!M57</f>
        <v>2.009165683120187</v>
      </c>
      <c r="F56" s="96">
        <f>Ricavi!O57</f>
        <v>1.404875675575173</v>
      </c>
      <c r="G56" s="96">
        <f t="shared" si="0"/>
        <v>1864033.6000000003</v>
      </c>
      <c r="H56" s="96" t="s">
        <v>206</v>
      </c>
      <c r="I56" s="96"/>
      <c r="K56" s="104" t="s">
        <v>297</v>
      </c>
    </row>
    <row r="57" spans="1:11" x14ac:dyDescent="0.3">
      <c r="A57" s="96"/>
      <c r="B57" s="96" t="str">
        <f>Ricavi!J58</f>
        <v>PF A13</v>
      </c>
      <c r="C57" s="96" t="str">
        <f>Ricavi!K58</f>
        <v>PF</v>
      </c>
      <c r="D57" s="96">
        <f>Ricavi!L58</f>
        <v>129425</v>
      </c>
      <c r="E57" s="96">
        <f>Ricavi!M58</f>
        <v>1.6307046552057176</v>
      </c>
      <c r="F57" s="96">
        <f>Ricavi!O58</f>
        <v>1.1999951095228896</v>
      </c>
      <c r="G57" s="96">
        <f t="shared" si="0"/>
        <v>211053.95</v>
      </c>
      <c r="H57" s="96" t="s">
        <v>206</v>
      </c>
      <c r="I57" s="96"/>
      <c r="K57" s="105">
        <f>SUMIF($C$3:$C$63,"MP",$G$3:$G$63)</f>
        <v>196584.24189999999</v>
      </c>
    </row>
    <row r="58" spans="1:11" x14ac:dyDescent="0.3">
      <c r="A58" s="96"/>
      <c r="B58" s="96" t="str">
        <f>Ricavi!J59</f>
        <v>PF A14</v>
      </c>
      <c r="C58" s="96" t="str">
        <f>Ricavi!K59</f>
        <v>PF</v>
      </c>
      <c r="D58" s="96">
        <f>Ricavi!L59</f>
        <v>131955</v>
      </c>
      <c r="E58" s="96">
        <f>Ricavi!M59</f>
        <v>1.9791817665113107</v>
      </c>
      <c r="F58" s="96">
        <f>Ricavi!O59</f>
        <v>1.370090544124891</v>
      </c>
      <c r="G58" s="96">
        <f t="shared" si="0"/>
        <v>261162.93</v>
      </c>
      <c r="H58" s="96" t="s">
        <v>206</v>
      </c>
      <c r="I58" s="96"/>
      <c r="K58" s="104" t="s">
        <v>298</v>
      </c>
    </row>
    <row r="59" spans="1:11" x14ac:dyDescent="0.3">
      <c r="A59" s="96"/>
      <c r="B59" s="96" t="str">
        <f>Ricavi!J60</f>
        <v>PF A15</v>
      </c>
      <c r="C59" s="96" t="str">
        <f>Ricavi!K60</f>
        <v>PF</v>
      </c>
      <c r="D59" s="96">
        <f>Ricavi!L60</f>
        <v>375075</v>
      </c>
      <c r="E59" s="96">
        <f>Ricavi!M60</f>
        <v>1.7865580217289871</v>
      </c>
      <c r="F59" s="96">
        <f>Ricavi!O60</f>
        <v>1.2283678686929282</v>
      </c>
      <c r="G59" s="96">
        <f t="shared" si="0"/>
        <v>670093.24999999988</v>
      </c>
      <c r="H59" s="96" t="s">
        <v>206</v>
      </c>
      <c r="I59" s="96"/>
      <c r="K59" s="105">
        <f>SUMIF($C$3:$C$63,"PCL",$G$3:$G$63)</f>
        <v>2489618.9618799998</v>
      </c>
    </row>
    <row r="60" spans="1:11" x14ac:dyDescent="0.3">
      <c r="A60" s="96"/>
      <c r="B60" s="96" t="str">
        <f>Ricavi!J61</f>
        <v>PF A16</v>
      </c>
      <c r="C60" s="96" t="str">
        <f>Ricavi!K61</f>
        <v>PF</v>
      </c>
      <c r="D60" s="96">
        <f>Ricavi!L61</f>
        <v>151110</v>
      </c>
      <c r="E60" s="96">
        <f>Ricavi!M61</f>
        <v>1.6128909403745617</v>
      </c>
      <c r="F60" s="96">
        <f>Ricavi!O61</f>
        <v>1.1950272698696316</v>
      </c>
      <c r="G60" s="96">
        <f t="shared" si="0"/>
        <v>243723.95</v>
      </c>
      <c r="H60" s="96" t="s">
        <v>206</v>
      </c>
      <c r="I60" s="96"/>
    </row>
    <row r="61" spans="1:11" x14ac:dyDescent="0.3">
      <c r="A61" s="96"/>
      <c r="B61" s="96" t="str">
        <f>Ricavi!J62</f>
        <v>PF A17</v>
      </c>
      <c r="C61" s="96" t="str">
        <f>Ricavi!K62</f>
        <v>PF</v>
      </c>
      <c r="D61" s="96">
        <f>Ricavi!L62</f>
        <v>240225</v>
      </c>
      <c r="E61" s="96">
        <f>Ricavi!M62</f>
        <v>1.9365259652409199</v>
      </c>
      <c r="F61" s="96">
        <f>Ricavi!O62</f>
        <v>1.4175060813820379</v>
      </c>
      <c r="G61" s="96">
        <f t="shared" si="0"/>
        <v>465201.95</v>
      </c>
      <c r="H61" s="96" t="s">
        <v>206</v>
      </c>
      <c r="I61" s="96"/>
    </row>
    <row r="62" spans="1:11" x14ac:dyDescent="0.3">
      <c r="A62" s="96"/>
      <c r="B62" s="96" t="str">
        <f>Ricavi!J63</f>
        <v>PF A18</v>
      </c>
      <c r="C62" s="96" t="str">
        <f>Ricavi!K63</f>
        <v>PF</v>
      </c>
      <c r="D62" s="96">
        <f>Ricavi!L63</f>
        <v>392880</v>
      </c>
      <c r="E62" s="96">
        <f>Ricavi!M63</f>
        <v>1.0338126145387905</v>
      </c>
      <c r="F62" s="96">
        <f>Ricavi!O63</f>
        <v>0.5436791535583384</v>
      </c>
      <c r="G62" s="96">
        <f t="shared" si="0"/>
        <v>406164.3</v>
      </c>
      <c r="H62" s="96" t="s">
        <v>206</v>
      </c>
      <c r="I62" s="96"/>
    </row>
    <row r="63" spans="1:11" x14ac:dyDescent="0.3">
      <c r="A63" s="96"/>
      <c r="B63" s="96" t="str">
        <f>Ricavi!J64</f>
        <v>PF A19</v>
      </c>
      <c r="C63" s="96" t="str">
        <f>Ricavi!K64</f>
        <v>PF</v>
      </c>
      <c r="D63" s="96">
        <f>Ricavi!L64</f>
        <v>1325620</v>
      </c>
      <c r="E63" s="96">
        <f>Ricavi!M64</f>
        <v>1.59928712602404</v>
      </c>
      <c r="F63" s="96">
        <f>Ricavi!O64</f>
        <v>1.4112718684087449</v>
      </c>
      <c r="G63" s="96">
        <f t="shared" si="0"/>
        <v>2120046.9999999879</v>
      </c>
      <c r="H63" s="96" t="s">
        <v>206</v>
      </c>
      <c r="I63" s="96"/>
    </row>
    <row r="64" spans="1:11" x14ac:dyDescent="0.3">
      <c r="A64" s="96"/>
      <c r="B64" s="96" t="str">
        <f>Ricavi!J65</f>
        <v>Spese trasporto</v>
      </c>
      <c r="C64" s="96" t="str">
        <f>Ricavi!K65</f>
        <v>Others</v>
      </c>
      <c r="D64" s="96">
        <f>Ricavi!L65</f>
        <v>25000</v>
      </c>
      <c r="E64" s="96">
        <v>1</v>
      </c>
      <c r="F64" s="96" t="s">
        <v>287</v>
      </c>
      <c r="G64" s="96">
        <f t="shared" si="0"/>
        <v>25000</v>
      </c>
      <c r="H64" s="96"/>
      <c r="I64" s="96" t="str">
        <f>"Riaccredito trasporti"</f>
        <v>Riaccredito trasporti</v>
      </c>
    </row>
    <row r="65" spans="1:9" x14ac:dyDescent="0.3">
      <c r="A65" s="96"/>
      <c r="B65" s="96" t="str">
        <f>Ricavi!J66</f>
        <v>Premio Year22</v>
      </c>
      <c r="C65" s="96" t="str">
        <f>Ricavi!K66</f>
        <v>Others</v>
      </c>
      <c r="D65" s="96">
        <f>Ricavi!L66</f>
        <v>12</v>
      </c>
      <c r="E65" s="96">
        <f>Ricavi!M66</f>
        <v>18980.987499999999</v>
      </c>
      <c r="F65" s="96" t="s">
        <v>287</v>
      </c>
      <c r="G65" s="96">
        <f>-D65*E65</f>
        <v>-227771.84999999998</v>
      </c>
      <c r="H65" s="96"/>
      <c r="I65" s="96" t="str">
        <f>"Premio clienti (ricavo negativo)"</f>
        <v>Premio clienti (ricavo negativo)</v>
      </c>
    </row>
    <row r="66" spans="1:9" x14ac:dyDescent="0.3">
      <c r="A66" s="96"/>
      <c r="B66" s="96"/>
      <c r="C66" s="96"/>
      <c r="D66" s="96"/>
      <c r="E66" s="96"/>
      <c r="F66" s="96"/>
      <c r="G66" s="96"/>
      <c r="H66" s="96"/>
      <c r="I66" s="96"/>
    </row>
    <row r="67" spans="1:9" x14ac:dyDescent="0.3">
      <c r="A67" s="96"/>
      <c r="B67" s="96"/>
      <c r="C67" s="96"/>
      <c r="D67" s="96"/>
      <c r="E67" s="97" t="s">
        <v>199</v>
      </c>
      <c r="F67" s="97"/>
      <c r="G67" s="97">
        <f>SUM(G3:G65)</f>
        <v>70841980.372306511</v>
      </c>
      <c r="H67" s="96"/>
      <c r="I67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workbookViewId="0">
      <selection activeCell="G9" sqref="G9"/>
    </sheetView>
  </sheetViews>
  <sheetFormatPr defaultColWidth="9.21875" defaultRowHeight="14.4" x14ac:dyDescent="0.3"/>
  <cols>
    <col min="1" max="1" width="2.77734375" style="3" customWidth="1"/>
    <col min="2" max="2" width="62.21875" style="8" customWidth="1"/>
    <col min="3" max="3" width="23.5546875" style="3" bestFit="1" customWidth="1"/>
    <col min="4" max="14" width="10.5546875" style="3" customWidth="1"/>
    <col min="15" max="15" width="12.44140625" style="3" bestFit="1" customWidth="1"/>
    <col min="16" max="16" width="11.5546875" style="3" customWidth="1"/>
    <col min="17" max="16384" width="9.21875" style="3"/>
  </cols>
  <sheetData>
    <row r="1" spans="2:16" ht="15.6" customHeight="1" thickBot="1" x14ac:dyDescent="0.35"/>
    <row r="2" spans="2:16" ht="15" thickBot="1" x14ac:dyDescent="0.35">
      <c r="B2" s="150" t="s">
        <v>134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2"/>
    </row>
    <row r="3" spans="2:16" x14ac:dyDescent="0.25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5.6" x14ac:dyDescent="0.3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">
      <c r="B14" s="21"/>
      <c r="O14" s="23"/>
    </row>
    <row r="15" spans="2:16" x14ac:dyDescent="0.3">
      <c r="B15" s="21" t="s">
        <v>165</v>
      </c>
      <c r="O15" s="23"/>
    </row>
    <row r="16" spans="2:16" x14ac:dyDescent="0.3">
      <c r="B16" s="14" t="s">
        <v>183</v>
      </c>
      <c r="O16" s="23"/>
    </row>
    <row r="17" spans="2:16" x14ac:dyDescent="0.3">
      <c r="B17" s="21" t="s">
        <v>174</v>
      </c>
      <c r="O17" s="23"/>
      <c r="P17" s="3" t="s">
        <v>185</v>
      </c>
    </row>
    <row r="18" spans="2:16" x14ac:dyDescent="0.3">
      <c r="B18" s="21" t="s">
        <v>166</v>
      </c>
      <c r="O18" s="23"/>
    </row>
    <row r="19" spans="2:16" x14ac:dyDescent="0.3">
      <c r="B19" s="21" t="s">
        <v>182</v>
      </c>
      <c r="O19" s="23"/>
    </row>
    <row r="20" spans="2:16" x14ac:dyDescent="0.3">
      <c r="B20" s="21" t="s">
        <v>181</v>
      </c>
      <c r="O20" s="23"/>
    </row>
    <row r="21" spans="2:16" x14ac:dyDescent="0.3">
      <c r="B21" s="21"/>
      <c r="O21" s="23"/>
    </row>
    <row r="22" spans="2:16" x14ac:dyDescent="0.3">
      <c r="B22" s="12" t="s">
        <v>75</v>
      </c>
      <c r="O22" s="23"/>
    </row>
    <row r="23" spans="2:16" x14ac:dyDescent="0.3">
      <c r="B23" s="21" t="s">
        <v>171</v>
      </c>
      <c r="O23" s="23"/>
    </row>
    <row r="24" spans="2:16" x14ac:dyDescent="0.3">
      <c r="B24" s="21"/>
      <c r="O24" s="23"/>
    </row>
    <row r="25" spans="2:16" x14ac:dyDescent="0.3">
      <c r="B25" s="12" t="s">
        <v>76</v>
      </c>
      <c r="O25" s="23"/>
    </row>
    <row r="26" spans="2:16" x14ac:dyDescent="0.3">
      <c r="B26" s="21" t="s">
        <v>175</v>
      </c>
      <c r="O26" s="23"/>
    </row>
    <row r="27" spans="2:16" x14ac:dyDescent="0.3">
      <c r="B27" s="21"/>
      <c r="O27" s="23"/>
    </row>
    <row r="28" spans="2:16" x14ac:dyDescent="0.3">
      <c r="B28" s="12" t="s">
        <v>122</v>
      </c>
      <c r="O28" s="23"/>
    </row>
    <row r="29" spans="2:16" x14ac:dyDescent="0.3">
      <c r="B29" s="21" t="s">
        <v>161</v>
      </c>
      <c r="O29" s="23"/>
    </row>
    <row r="30" spans="2:16" x14ac:dyDescent="0.3">
      <c r="B30" s="21" t="s">
        <v>173</v>
      </c>
      <c r="O30" s="23"/>
    </row>
    <row r="31" spans="2:16" x14ac:dyDescent="0.3">
      <c r="B31" s="21" t="s">
        <v>123</v>
      </c>
      <c r="O31" s="23"/>
    </row>
    <row r="32" spans="2:16" x14ac:dyDescent="0.3">
      <c r="B32" s="21"/>
      <c r="O32" s="23"/>
    </row>
    <row r="33" spans="2:15" x14ac:dyDescent="0.3">
      <c r="B33" s="12" t="s">
        <v>121</v>
      </c>
      <c r="O33" s="23"/>
    </row>
    <row r="34" spans="2:15" ht="15" thickBot="1" x14ac:dyDescent="0.35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I45"/>
  <sheetViews>
    <sheetView workbookViewId="0">
      <selection activeCell="C23" sqref="C23"/>
    </sheetView>
  </sheetViews>
  <sheetFormatPr defaultRowHeight="14.4" x14ac:dyDescent="0.3"/>
  <cols>
    <col min="2" max="2" width="34.21875" bestFit="1" customWidth="1"/>
    <col min="3" max="3" width="13.109375" bestFit="1" customWidth="1"/>
    <col min="4" max="5" width="12.77734375" bestFit="1" customWidth="1"/>
    <col min="6" max="6" width="26.21875" bestFit="1" customWidth="1"/>
    <col min="7" max="7" width="20.5546875" bestFit="1" customWidth="1"/>
    <col min="8" max="8" width="18.21875" customWidth="1"/>
    <col min="9" max="9" width="13.1093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</row>
    <row r="2" spans="1:9" x14ac:dyDescent="0.3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">
      <c r="A3" s="96"/>
      <c r="B3" s="96" t="s">
        <v>214</v>
      </c>
      <c r="C3" s="96">
        <v>0.41</v>
      </c>
      <c r="D3" s="96"/>
      <c r="E3" s="96" t="s">
        <v>200</v>
      </c>
      <c r="F3" s="96" t="s">
        <v>211</v>
      </c>
      <c r="G3" s="96" t="s">
        <v>212</v>
      </c>
      <c r="H3" s="96" t="s">
        <v>301</v>
      </c>
      <c r="I3" s="96" t="s">
        <v>302</v>
      </c>
    </row>
    <row r="4" spans="1:9" x14ac:dyDescent="0.3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C23*G4*C24</f>
        <v>1343277.1335500001</v>
      </c>
      <c r="I4" s="107">
        <f>G4*(C26+C22*C27)</f>
        <v>3512848.8566000001</v>
      </c>
    </row>
    <row r="5" spans="1:9" x14ac:dyDescent="0.3">
      <c r="A5" s="96"/>
      <c r="B5" s="96" t="s">
        <v>216</v>
      </c>
      <c r="C5" s="96">
        <v>8997222.2200000007</v>
      </c>
      <c r="D5" s="96"/>
      <c r="E5" s="96" t="s">
        <v>208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C21*G5*C24</f>
        <v>355850.11000000004</v>
      </c>
      <c r="I5" s="107">
        <f>G5*C27</f>
        <v>388200.12</v>
      </c>
    </row>
    <row r="6" spans="1:9" x14ac:dyDescent="0.3">
      <c r="A6" s="96"/>
      <c r="B6" s="96" t="s">
        <v>217</v>
      </c>
      <c r="C6" s="96">
        <v>4300000</v>
      </c>
      <c r="D6" s="96"/>
      <c r="E6" s="96" t="s">
        <v>209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G6*C20*C24</f>
        <v>1038008.9592</v>
      </c>
      <c r="I6" s="107">
        <f>G6*C28</f>
        <v>843382.27934999997</v>
      </c>
    </row>
    <row r="7" spans="1:9" x14ac:dyDescent="0.3">
      <c r="A7" s="96"/>
      <c r="B7" s="96"/>
      <c r="C7" s="96"/>
      <c r="D7" s="96"/>
      <c r="E7" s="96" t="s">
        <v>210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1477079.6382314637</v>
      </c>
      <c r="H9" s="96"/>
    </row>
    <row r="10" spans="1:9" x14ac:dyDescent="0.3">
      <c r="A10" s="96"/>
      <c r="B10" s="96"/>
      <c r="C10" s="96"/>
      <c r="D10" s="96"/>
      <c r="E10" s="96"/>
      <c r="F10" s="96" t="s">
        <v>227</v>
      </c>
      <c r="G10" s="96">
        <f>(I4+I5+I6+C30)*C17</f>
        <v>1403824.5342806277</v>
      </c>
      <c r="H10" s="96"/>
    </row>
    <row r="11" spans="1:9" x14ac:dyDescent="0.3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449211.74630400003</v>
      </c>
    </row>
    <row r="13" spans="1:9" x14ac:dyDescent="0.3">
      <c r="A13" s="96"/>
      <c r="B13" s="96"/>
      <c r="C13" s="96"/>
      <c r="D13" s="96"/>
      <c r="E13" s="110"/>
      <c r="F13" s="96" t="s">
        <v>230</v>
      </c>
      <c r="G13" s="96">
        <f>G7*C36</f>
        <v>1471815.2299680002</v>
      </c>
    </row>
    <row r="14" spans="1:9" x14ac:dyDescent="0.3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(SUMIF(RicaviBudget!$H:$H,"P",RicaviBudget!$G:$G))*C38</f>
        <v>867798.34033418808</v>
      </c>
    </row>
    <row r="15" spans="1:9" x14ac:dyDescent="0.3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564932.18138154072</v>
      </c>
      <c r="H15" s="96"/>
    </row>
    <row r="16" spans="1:9" x14ac:dyDescent="0.3">
      <c r="A16" s="96"/>
      <c r="B16" s="96"/>
      <c r="C16" s="96"/>
      <c r="D16" s="96"/>
      <c r="E16" s="96"/>
      <c r="F16" s="96"/>
      <c r="G16" s="96"/>
      <c r="H16" s="96"/>
    </row>
    <row r="17" spans="1:8" x14ac:dyDescent="0.3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6388411.6704998203</v>
      </c>
      <c r="H17" s="96"/>
    </row>
    <row r="18" spans="1:8" x14ac:dyDescent="0.3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">
      <c r="A19" s="96"/>
      <c r="B19" s="96"/>
      <c r="C19" s="96"/>
      <c r="D19" s="96"/>
      <c r="E19" s="96"/>
      <c r="F19" s="96"/>
      <c r="G19" s="96"/>
      <c r="H19" s="96"/>
    </row>
    <row r="20" spans="1:8" x14ac:dyDescent="0.3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">
      <c r="A23" s="96"/>
      <c r="B23" s="96" t="s">
        <v>276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">
      <c r="B24" s="96" t="s">
        <v>249</v>
      </c>
      <c r="C24" s="96">
        <v>86</v>
      </c>
    </row>
    <row r="25" spans="1:8" x14ac:dyDescent="0.3">
      <c r="C25" s="96"/>
    </row>
    <row r="26" spans="1:8" x14ac:dyDescent="0.3">
      <c r="B26" s="96" t="s">
        <v>275</v>
      </c>
      <c r="C26" s="96">
        <f>VariableCosts!C12</f>
        <v>140</v>
      </c>
    </row>
    <row r="27" spans="1:8" x14ac:dyDescent="0.3">
      <c r="B27" s="96" t="s">
        <v>250</v>
      </c>
      <c r="C27" s="96">
        <f>VariableCosts!C11</f>
        <v>60</v>
      </c>
    </row>
    <row r="28" spans="1:8" x14ac:dyDescent="0.3">
      <c r="B28" s="96" t="s">
        <v>251</v>
      </c>
      <c r="C28" s="96">
        <f>VariableCosts!C10</f>
        <v>65</v>
      </c>
    </row>
    <row r="29" spans="1:8" x14ac:dyDescent="0.3">
      <c r="B29" s="96" t="s">
        <v>264</v>
      </c>
      <c r="C29" s="96">
        <f>VariableCosts!C13</f>
        <v>275000</v>
      </c>
    </row>
    <row r="30" spans="1:8" x14ac:dyDescent="0.3">
      <c r="B30" s="96" t="s">
        <v>265</v>
      </c>
      <c r="C30" s="96">
        <f>C29*12</f>
        <v>3300000</v>
      </c>
    </row>
    <row r="32" spans="1:8" x14ac:dyDescent="0.3">
      <c r="B32" s="96" t="s">
        <v>266</v>
      </c>
      <c r="C32" s="96">
        <v>10.24</v>
      </c>
    </row>
    <row r="34" spans="2:3" x14ac:dyDescent="0.3">
      <c r="B34" s="96" t="s">
        <v>267</v>
      </c>
      <c r="C34" s="96">
        <v>40</v>
      </c>
    </row>
    <row r="35" spans="2:3" x14ac:dyDescent="0.3">
      <c r="B35" t="s">
        <v>268</v>
      </c>
      <c r="C35" s="96">
        <v>0.08</v>
      </c>
    </row>
    <row r="36" spans="2:3" x14ac:dyDescent="0.3">
      <c r="B36" s="96" t="s">
        <v>269</v>
      </c>
      <c r="C36">
        <f>C34*(1+C35)</f>
        <v>43.2</v>
      </c>
    </row>
    <row r="38" spans="2:3" x14ac:dyDescent="0.3">
      <c r="B38" t="s">
        <v>270</v>
      </c>
      <c r="C38" s="96">
        <v>0.02</v>
      </c>
    </row>
    <row r="40" spans="2:3" x14ac:dyDescent="0.3">
      <c r="B40" s="96" t="s">
        <v>233</v>
      </c>
      <c r="C40" s="96">
        <f>G4*C23</f>
        <v>15619.501552906979</v>
      </c>
    </row>
    <row r="41" spans="2:3" x14ac:dyDescent="0.3">
      <c r="B41" s="96" t="s">
        <v>273</v>
      </c>
      <c r="C41" s="96">
        <f>G5*C21</f>
        <v>4137.7919767441863</v>
      </c>
    </row>
    <row r="42" spans="2:3" x14ac:dyDescent="0.3">
      <c r="B42" s="96" t="s">
        <v>272</v>
      </c>
      <c r="C42" s="107">
        <f>G6*C20</f>
        <v>12069.871618604651</v>
      </c>
    </row>
    <row r="43" spans="2:3" x14ac:dyDescent="0.3">
      <c r="B43" s="96" t="s">
        <v>234</v>
      </c>
      <c r="C43" s="96">
        <f>C41+C40+C42</f>
        <v>31827.165148255815</v>
      </c>
    </row>
    <row r="44" spans="2:3" x14ac:dyDescent="0.3">
      <c r="B44" s="96" t="s">
        <v>235</v>
      </c>
      <c r="C44" s="96">
        <f>C43*0.25</f>
        <v>7956.7912870639539</v>
      </c>
    </row>
    <row r="45" spans="2:3" x14ac:dyDescent="0.3">
      <c r="B45" s="96" t="s">
        <v>252</v>
      </c>
      <c r="C45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workbookViewId="0"/>
  </sheetViews>
  <sheetFormatPr defaultColWidth="8.77734375" defaultRowHeight="14.4" x14ac:dyDescent="0.3"/>
  <cols>
    <col min="1" max="1" width="2.77734375" style="1" customWidth="1"/>
    <col min="2" max="2" width="123.21875" style="1" bestFit="1" customWidth="1"/>
    <col min="3" max="16384" width="8.77734375" style="1"/>
  </cols>
  <sheetData>
    <row r="1" spans="2:2" ht="15" thickBot="1" x14ac:dyDescent="0.35"/>
    <row r="2" spans="2:2" ht="15" thickBot="1" x14ac:dyDescent="0.35">
      <c r="B2" s="41" t="s">
        <v>135</v>
      </c>
    </row>
    <row r="3" spans="2:2" x14ac:dyDescent="0.3">
      <c r="B3" s="76" t="s">
        <v>82</v>
      </c>
    </row>
    <row r="4" spans="2:2" x14ac:dyDescent="0.3">
      <c r="B4" s="33" t="s">
        <v>168</v>
      </c>
    </row>
    <row r="5" spans="2:2" x14ac:dyDescent="0.3">
      <c r="B5" s="33"/>
    </row>
    <row r="6" spans="2:2" x14ac:dyDescent="0.3">
      <c r="B6" s="76" t="s">
        <v>83</v>
      </c>
    </row>
    <row r="7" spans="2:2" x14ac:dyDescent="0.3">
      <c r="B7" s="33" t="s">
        <v>126</v>
      </c>
    </row>
    <row r="8" spans="2:2" x14ac:dyDescent="0.3">
      <c r="B8" s="33"/>
    </row>
    <row r="9" spans="2:2" x14ac:dyDescent="0.3">
      <c r="B9" s="76" t="s">
        <v>84</v>
      </c>
    </row>
    <row r="10" spans="2:2" x14ac:dyDescent="0.3">
      <c r="B10" s="32" t="s">
        <v>128</v>
      </c>
    </row>
    <row r="11" spans="2:2" x14ac:dyDescent="0.3">
      <c r="B11" s="32"/>
    </row>
    <row r="12" spans="2:2" x14ac:dyDescent="0.3">
      <c r="B12" s="76" t="s">
        <v>85</v>
      </c>
    </row>
    <row r="13" spans="2:2" x14ac:dyDescent="0.3">
      <c r="B13" s="32" t="s">
        <v>128</v>
      </c>
    </row>
    <row r="14" spans="2:2" x14ac:dyDescent="0.3">
      <c r="B14" s="33"/>
    </row>
    <row r="15" spans="2:2" x14ac:dyDescent="0.3">
      <c r="B15" s="76" t="s">
        <v>86</v>
      </c>
    </row>
    <row r="16" spans="2:2" x14ac:dyDescent="0.3">
      <c r="B16" s="32" t="s">
        <v>128</v>
      </c>
    </row>
    <row r="17" spans="2:2" x14ac:dyDescent="0.3">
      <c r="B17" s="33"/>
    </row>
    <row r="18" spans="2:2" x14ac:dyDescent="0.3">
      <c r="B18" s="76" t="s">
        <v>87</v>
      </c>
    </row>
    <row r="19" spans="2:2" x14ac:dyDescent="0.3">
      <c r="B19" s="32" t="s">
        <v>128</v>
      </c>
    </row>
    <row r="20" spans="2:2" x14ac:dyDescent="0.3">
      <c r="B20" s="77"/>
    </row>
    <row r="21" spans="2:2" x14ac:dyDescent="0.3">
      <c r="B21" s="76" t="s">
        <v>89</v>
      </c>
    </row>
    <row r="22" spans="2:2" x14ac:dyDescent="0.3">
      <c r="B22" s="32" t="s">
        <v>128</v>
      </c>
    </row>
    <row r="23" spans="2:2" x14ac:dyDescent="0.3">
      <c r="B23" s="33"/>
    </row>
    <row r="24" spans="2:2" x14ac:dyDescent="0.3">
      <c r="B24" s="76" t="s">
        <v>90</v>
      </c>
    </row>
    <row r="25" spans="2:2" x14ac:dyDescent="0.3">
      <c r="B25" s="32" t="s">
        <v>128</v>
      </c>
    </row>
    <row r="26" spans="2:2" x14ac:dyDescent="0.3">
      <c r="B26" s="33"/>
    </row>
    <row r="27" spans="2:2" x14ac:dyDescent="0.3">
      <c r="B27" s="76" t="s">
        <v>91</v>
      </c>
    </row>
    <row r="28" spans="2:2" ht="15" thickBot="1" x14ac:dyDescent="0.35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workbookViewId="0"/>
  </sheetViews>
  <sheetFormatPr defaultRowHeight="14.4" x14ac:dyDescent="0.3"/>
  <cols>
    <col min="2" max="2" width="41.77734375" bestFit="1" customWidth="1"/>
    <col min="3" max="3" width="11.77734375" bestFit="1" customWidth="1"/>
    <col min="4" max="4" width="54.5546875" bestFit="1" customWidth="1"/>
    <col min="6" max="6" width="9.21875" customWidth="1"/>
  </cols>
  <sheetData>
    <row r="2" spans="2:4" x14ac:dyDescent="0.3">
      <c r="D2" t="s">
        <v>198</v>
      </c>
    </row>
    <row r="3" spans="2:4" x14ac:dyDescent="0.3">
      <c r="B3" t="s">
        <v>237</v>
      </c>
      <c r="C3" s="96">
        <f>-'CE 21-22'!F22+50*12*100*1.4</f>
        <v>5594785.9100000001</v>
      </c>
      <c r="D3" t="s">
        <v>271</v>
      </c>
    </row>
    <row r="4" spans="2:4" x14ac:dyDescent="0.3">
      <c r="C4" s="96"/>
    </row>
    <row r="5" spans="2:4" x14ac:dyDescent="0.3">
      <c r="B5" t="s">
        <v>238</v>
      </c>
      <c r="C5" s="96">
        <f>-'CE 21-22'!F23-150000</f>
        <v>1050000</v>
      </c>
    </row>
    <row r="6" spans="2:4" x14ac:dyDescent="0.3">
      <c r="C6" s="96"/>
    </row>
    <row r="7" spans="2:4" x14ac:dyDescent="0.3">
      <c r="B7" t="s">
        <v>239</v>
      </c>
      <c r="C7" s="96">
        <f>-'CE 21-22'!F24*1.025</f>
        <v>307500</v>
      </c>
    </row>
    <row r="8" spans="2:4" x14ac:dyDescent="0.3">
      <c r="C8" s="96"/>
    </row>
    <row r="9" spans="2:4" x14ac:dyDescent="0.3">
      <c r="B9" t="s">
        <v>240</v>
      </c>
      <c r="C9" s="96">
        <f>-'CE 21-22'!F25*1.025</f>
        <v>151700</v>
      </c>
    </row>
    <row r="10" spans="2:4" x14ac:dyDescent="0.3">
      <c r="C10" s="96"/>
    </row>
    <row r="11" spans="2:4" x14ac:dyDescent="0.3">
      <c r="B11" t="s">
        <v>241</v>
      </c>
      <c r="C11" s="96">
        <f>-'CE 21-22'!F26*1.025</f>
        <v>309550</v>
      </c>
    </row>
    <row r="12" spans="2:4" x14ac:dyDescent="0.3">
      <c r="C12" s="96"/>
    </row>
    <row r="13" spans="2:4" x14ac:dyDescent="0.3">
      <c r="B13" t="s">
        <v>242</v>
      </c>
      <c r="C13" s="96">
        <f>-'CE 21-22'!F27*1.025</f>
        <v>212174.99999999997</v>
      </c>
    </row>
    <row r="14" spans="2:4" x14ac:dyDescent="0.3">
      <c r="C14" s="96"/>
    </row>
    <row r="15" spans="2:4" x14ac:dyDescent="0.3">
      <c r="B15" s="93" t="s">
        <v>246</v>
      </c>
      <c r="C15" s="97">
        <f>SUM(C13+C11+C9+C7+C5+C3)</f>
        <v>7625710.9100000001</v>
      </c>
    </row>
    <row r="16" spans="2:4" x14ac:dyDescent="0.3">
      <c r="C16" s="96"/>
    </row>
    <row r="17" spans="2:3" x14ac:dyDescent="0.3">
      <c r="C17" s="96"/>
    </row>
    <row r="18" spans="2:3" x14ac:dyDescent="0.3">
      <c r="B18" t="s">
        <v>243</v>
      </c>
      <c r="C18" s="96">
        <f>-'CE 21-22'!F29*1.025</f>
        <v>563750</v>
      </c>
    </row>
    <row r="19" spans="2:3" x14ac:dyDescent="0.3">
      <c r="C19" s="96"/>
    </row>
    <row r="20" spans="2:3" x14ac:dyDescent="0.3">
      <c r="B20" s="94" t="s">
        <v>244</v>
      </c>
      <c r="C20" s="96">
        <f>-'CE 21-22'!F30*1.025</f>
        <v>307500</v>
      </c>
    </row>
    <row r="21" spans="2:3" x14ac:dyDescent="0.3">
      <c r="C21" s="96"/>
    </row>
    <row r="22" spans="2:3" x14ac:dyDescent="0.3">
      <c r="B22" t="s">
        <v>245</v>
      </c>
      <c r="C22" s="96">
        <f>-'CE 21-22'!F31*1.025</f>
        <v>102499.99999999999</v>
      </c>
    </row>
    <row r="23" spans="2:3" x14ac:dyDescent="0.3">
      <c r="C23" s="96"/>
    </row>
    <row r="24" spans="2:3" x14ac:dyDescent="0.3">
      <c r="B24" s="93" t="s">
        <v>247</v>
      </c>
      <c r="C24" s="97">
        <f>SUM(C18+C20+C22)</f>
        <v>973750</v>
      </c>
    </row>
    <row r="25" spans="2:3" x14ac:dyDescent="0.3">
      <c r="C25" s="96"/>
    </row>
    <row r="26" spans="2:3" x14ac:dyDescent="0.3">
      <c r="C26" s="96"/>
    </row>
    <row r="27" spans="2:3" x14ac:dyDescent="0.3">
      <c r="B27" s="93" t="s">
        <v>248</v>
      </c>
      <c r="C27" s="97">
        <f>SUM(C24+C15)</f>
        <v>8599460.9100000001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workbookViewId="0"/>
  </sheetViews>
  <sheetFormatPr defaultColWidth="8.77734375" defaultRowHeight="14.4" x14ac:dyDescent="0.3"/>
  <cols>
    <col min="1" max="1" width="2.77734375" style="1" customWidth="1"/>
    <col min="2" max="2" width="70.44140625" style="1" bestFit="1" customWidth="1"/>
    <col min="3" max="16384" width="8.77734375" style="1"/>
  </cols>
  <sheetData>
    <row r="1" spans="2:9" ht="15" thickBot="1" x14ac:dyDescent="0.35"/>
    <row r="2" spans="2:9" ht="15" thickBot="1" x14ac:dyDescent="0.35">
      <c r="B2" s="41" t="s">
        <v>136</v>
      </c>
    </row>
    <row r="3" spans="2:9" x14ac:dyDescent="0.3">
      <c r="B3" s="31" t="s">
        <v>94</v>
      </c>
    </row>
    <row r="4" spans="2:9" x14ac:dyDescent="0.3">
      <c r="B4" s="95" t="s">
        <v>176</v>
      </c>
      <c r="C4" s="1" t="s">
        <v>186</v>
      </c>
    </row>
    <row r="5" spans="2:9" x14ac:dyDescent="0.3">
      <c r="B5" s="32"/>
      <c r="C5" s="1" t="s">
        <v>187</v>
      </c>
    </row>
    <row r="6" spans="2:9" x14ac:dyDescent="0.3">
      <c r="B6" s="31" t="s">
        <v>95</v>
      </c>
      <c r="C6" s="1" t="s">
        <v>188</v>
      </c>
    </row>
    <row r="7" spans="2:9" x14ac:dyDescent="0.3">
      <c r="B7" s="32" t="s">
        <v>127</v>
      </c>
    </row>
    <row r="8" spans="2:9" x14ac:dyDescent="0.3">
      <c r="B8" s="32"/>
    </row>
    <row r="9" spans="2:9" x14ac:dyDescent="0.3">
      <c r="B9" s="31" t="s">
        <v>96</v>
      </c>
    </row>
    <row r="10" spans="2:9" x14ac:dyDescent="0.3">
      <c r="B10" s="33" t="s">
        <v>130</v>
      </c>
    </row>
    <row r="11" spans="2:9" x14ac:dyDescent="0.3">
      <c r="B11" s="33"/>
    </row>
    <row r="12" spans="2:9" x14ac:dyDescent="0.3">
      <c r="B12" s="31" t="s">
        <v>99</v>
      </c>
    </row>
    <row r="13" spans="2:9" x14ac:dyDescent="0.3">
      <c r="B13" s="32" t="s">
        <v>160</v>
      </c>
      <c r="C13" s="1" t="s">
        <v>189</v>
      </c>
      <c r="I13" s="1" t="s">
        <v>190</v>
      </c>
    </row>
    <row r="14" spans="2:9" x14ac:dyDescent="0.3">
      <c r="B14" s="32"/>
    </row>
    <row r="15" spans="2:9" x14ac:dyDescent="0.3">
      <c r="B15" s="31" t="s">
        <v>100</v>
      </c>
    </row>
    <row r="16" spans="2:9" x14ac:dyDescent="0.3">
      <c r="B16" s="32" t="s">
        <v>131</v>
      </c>
    </row>
    <row r="17" spans="2:2" x14ac:dyDescent="0.3">
      <c r="B17" s="32"/>
    </row>
    <row r="18" spans="2:2" x14ac:dyDescent="0.3">
      <c r="B18" s="31" t="s">
        <v>103</v>
      </c>
    </row>
    <row r="19" spans="2:2" x14ac:dyDescent="0.3">
      <c r="B19" s="32" t="s">
        <v>132</v>
      </c>
    </row>
    <row r="20" spans="2:2" x14ac:dyDescent="0.3">
      <c r="B20" s="32"/>
    </row>
    <row r="21" spans="2:2" x14ac:dyDescent="0.3">
      <c r="B21" s="31" t="s">
        <v>104</v>
      </c>
    </row>
    <row r="22" spans="2:2" x14ac:dyDescent="0.3">
      <c r="B22" s="32" t="s">
        <v>133</v>
      </c>
    </row>
    <row r="23" spans="2:2" x14ac:dyDescent="0.3">
      <c r="B23" s="32"/>
    </row>
    <row r="24" spans="2:2" x14ac:dyDescent="0.3">
      <c r="B24" s="31" t="s">
        <v>105</v>
      </c>
    </row>
    <row r="25" spans="2:2" x14ac:dyDescent="0.3">
      <c r="B25" s="33" t="s">
        <v>129</v>
      </c>
    </row>
    <row r="26" spans="2:2" x14ac:dyDescent="0.3">
      <c r="B26" s="33"/>
    </row>
    <row r="27" spans="2:2" x14ac:dyDescent="0.3">
      <c r="B27" s="31" t="s">
        <v>108</v>
      </c>
    </row>
    <row r="28" spans="2:2" ht="15" thickBot="1" x14ac:dyDescent="0.35">
      <c r="B28" s="34" t="s">
        <v>163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24"/>
  <sheetViews>
    <sheetView workbookViewId="0"/>
  </sheetViews>
  <sheetFormatPr defaultRowHeight="14.4" x14ac:dyDescent="0.3"/>
  <cols>
    <col min="2" max="2" width="41.77734375" bestFit="1" customWidth="1"/>
    <col min="3" max="3" width="12.77734375" bestFit="1" customWidth="1"/>
    <col min="4" max="4" width="75.44140625" bestFit="1" customWidth="1"/>
    <col min="5" max="5" width="34" customWidth="1"/>
  </cols>
  <sheetData>
    <row r="1" spans="1:4" x14ac:dyDescent="0.3">
      <c r="A1" s="96"/>
      <c r="B1" s="96"/>
      <c r="C1" s="96"/>
      <c r="D1" s="96"/>
    </row>
    <row r="2" spans="1:4" x14ac:dyDescent="0.3">
      <c r="A2" s="96"/>
      <c r="B2" s="96"/>
      <c r="C2" s="96"/>
      <c r="D2" s="96" t="s">
        <v>253</v>
      </c>
    </row>
    <row r="3" spans="1:4" x14ac:dyDescent="0.3">
      <c r="A3" s="96"/>
      <c r="B3" s="96" t="s">
        <v>254</v>
      </c>
      <c r="C3" s="96">
        <f>-'CE 21-22'!F34</f>
        <v>200000</v>
      </c>
      <c r="D3" s="96"/>
    </row>
    <row r="4" spans="1:4" x14ac:dyDescent="0.3">
      <c r="A4" s="96"/>
      <c r="B4" s="96"/>
      <c r="C4" s="96"/>
      <c r="D4" s="96"/>
    </row>
    <row r="5" spans="1:4" x14ac:dyDescent="0.3">
      <c r="A5" s="96"/>
      <c r="B5" s="96" t="s">
        <v>255</v>
      </c>
      <c r="C5" s="96">
        <f>-'CE 21-22'!F35 +C23*C24</f>
        <v>796875</v>
      </c>
      <c r="D5" s="96"/>
    </row>
    <row r="6" spans="1:4" x14ac:dyDescent="0.3">
      <c r="A6" s="96"/>
      <c r="B6" s="96"/>
      <c r="C6" s="96"/>
      <c r="D6" s="96"/>
    </row>
    <row r="7" spans="1:4" x14ac:dyDescent="0.3">
      <c r="A7" s="96"/>
      <c r="B7" s="96" t="s">
        <v>256</v>
      </c>
      <c r="C7" s="96">
        <v>0</v>
      </c>
      <c r="D7" s="96"/>
    </row>
    <row r="8" spans="1:4" x14ac:dyDescent="0.3">
      <c r="A8" s="96"/>
      <c r="B8" s="96"/>
      <c r="C8" s="96"/>
      <c r="D8" s="96"/>
    </row>
    <row r="9" spans="1:4" x14ac:dyDescent="0.3">
      <c r="A9" s="96"/>
      <c r="B9" s="96" t="s">
        <v>257</v>
      </c>
      <c r="C9" s="96">
        <f>(3000000*0.05*7/12)</f>
        <v>87500</v>
      </c>
      <c r="D9" s="96"/>
    </row>
    <row r="10" spans="1:4" x14ac:dyDescent="0.3">
      <c r="A10" s="96"/>
      <c r="B10" s="96"/>
      <c r="C10" s="96"/>
      <c r="D10" s="96"/>
    </row>
    <row r="11" spans="1:4" x14ac:dyDescent="0.3">
      <c r="A11" s="96"/>
      <c r="B11" s="96" t="s">
        <v>258</v>
      </c>
      <c r="C11" s="96">
        <v>0</v>
      </c>
      <c r="D11" s="96"/>
    </row>
    <row r="12" spans="1:4" x14ac:dyDescent="0.3">
      <c r="A12" s="96"/>
      <c r="B12" s="96"/>
      <c r="C12" s="96"/>
      <c r="D12" s="96"/>
    </row>
    <row r="13" spans="1:4" x14ac:dyDescent="0.3">
      <c r="A13" s="96"/>
      <c r="B13" s="96" t="s">
        <v>259</v>
      </c>
      <c r="C13" s="96">
        <v>0</v>
      </c>
      <c r="D13" s="96"/>
    </row>
    <row r="14" spans="1:4" x14ac:dyDescent="0.3">
      <c r="A14" s="96"/>
      <c r="B14" s="96"/>
      <c r="C14" s="96"/>
      <c r="D14" s="96"/>
    </row>
    <row r="15" spans="1:4" x14ac:dyDescent="0.3">
      <c r="A15" s="96"/>
      <c r="B15" s="96" t="s">
        <v>260</v>
      </c>
      <c r="C15" s="96">
        <v>0</v>
      </c>
      <c r="D15" s="96"/>
    </row>
    <row r="16" spans="1:4" x14ac:dyDescent="0.3">
      <c r="A16" s="96"/>
      <c r="B16" s="96"/>
      <c r="C16" s="96"/>
      <c r="D16" s="96"/>
    </row>
    <row r="17" spans="1:4" x14ac:dyDescent="0.3">
      <c r="A17" s="96"/>
      <c r="B17" s="96" t="s">
        <v>261</v>
      </c>
      <c r="C17" s="96">
        <v>0</v>
      </c>
      <c r="D17" s="96"/>
    </row>
    <row r="18" spans="1:4" x14ac:dyDescent="0.3">
      <c r="A18" s="96"/>
      <c r="B18" s="96"/>
      <c r="C18" s="96"/>
      <c r="D18" s="96"/>
    </row>
    <row r="19" spans="1:4" x14ac:dyDescent="0.3">
      <c r="A19" s="96"/>
      <c r="B19" s="96" t="s">
        <v>262</v>
      </c>
      <c r="C19" s="96">
        <f>'CE Budget 2022'!C47*0.3</f>
        <v>602751.56859381567</v>
      </c>
      <c r="D19" s="96" t="s">
        <v>263</v>
      </c>
    </row>
    <row r="23" spans="1:4" x14ac:dyDescent="0.3">
      <c r="B23" t="s">
        <v>277</v>
      </c>
      <c r="C23">
        <v>750000</v>
      </c>
    </row>
    <row r="24" spans="1:4" x14ac:dyDescent="0.3">
      <c r="B24" t="s">
        <v>278</v>
      </c>
      <c r="C24">
        <v>6.25E-2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357A-B255-476A-B362-53609C625BCC}">
  <dimension ref="A2:I142"/>
  <sheetViews>
    <sheetView tabSelected="1" topLeftCell="A77" zoomScale="97" zoomScaleNormal="128" workbookViewId="0">
      <selection activeCell="F91" sqref="F91"/>
    </sheetView>
  </sheetViews>
  <sheetFormatPr defaultRowHeight="14.4" x14ac:dyDescent="0.3"/>
  <cols>
    <col min="2" max="2" width="34" customWidth="1"/>
    <col min="3" max="4" width="20.21875" customWidth="1"/>
    <col min="5" max="5" width="22" customWidth="1"/>
    <col min="6" max="6" width="21.88671875" customWidth="1"/>
    <col min="7" max="7" width="21.33203125" customWidth="1"/>
    <col min="8" max="8" width="22.77734375" customWidth="1"/>
    <col min="9" max="9" width="27.21875" customWidth="1"/>
  </cols>
  <sheetData>
    <row r="2" spans="2:9" x14ac:dyDescent="0.3">
      <c r="B2" s="154" t="s">
        <v>304</v>
      </c>
      <c r="C2" s="154"/>
      <c r="D2" s="154"/>
      <c r="E2" s="131"/>
      <c r="F2" s="115" t="s">
        <v>124</v>
      </c>
      <c r="G2" s="115" t="s">
        <v>353</v>
      </c>
      <c r="H2" s="135" t="s">
        <v>311</v>
      </c>
      <c r="I2" t="s">
        <v>356</v>
      </c>
    </row>
    <row r="3" spans="2:9" x14ac:dyDescent="0.3">
      <c r="B3" s="112" t="s">
        <v>124</v>
      </c>
      <c r="C3" s="112" t="s">
        <v>305</v>
      </c>
      <c r="D3" s="112" t="s">
        <v>306</v>
      </c>
      <c r="E3" s="115"/>
      <c r="F3" s="115" t="s">
        <v>115</v>
      </c>
      <c r="G3" s="137">
        <f>C4/$C$16</f>
        <v>3.3043719893555163E-3</v>
      </c>
      <c r="H3" s="136">
        <f>G3*$C$18</f>
        <v>127308.44354485766</v>
      </c>
      <c r="I3" s="134">
        <f>C4/H3</f>
        <v>0.88723510283275675</v>
      </c>
    </row>
    <row r="4" spans="2:9" x14ac:dyDescent="0.3">
      <c r="B4" s="113" t="s">
        <v>115</v>
      </c>
      <c r="C4" s="114">
        <f>SUMIF(Ricavi!J:J, "MP*",Ricavi!L:L)</f>
        <v>112952.51999999999</v>
      </c>
      <c r="D4" s="114" cm="1">
        <f t="array" ref="D4">SUMPRODUCT(--ISNUMBER((SEARCH("MP", Ricavi!$J$4:$J$64))), Ricavi!$L$4:$L$64, Ricavi!$M$4:$M$64)</f>
        <v>196584.24189999999</v>
      </c>
      <c r="E4" s="132"/>
      <c r="F4" s="135" t="s">
        <v>116</v>
      </c>
      <c r="G4" s="137">
        <f>C5/$C$16</f>
        <v>9.7122175588267953E-2</v>
      </c>
      <c r="H4" s="136">
        <f>G4*$C$18</f>
        <v>3741852.6266603312</v>
      </c>
      <c r="I4" s="134">
        <f t="shared" ref="I4:I7" si="0">C5/H4</f>
        <v>0.88723510283275675</v>
      </c>
    </row>
    <row r="5" spans="2:9" x14ac:dyDescent="0.3">
      <c r="B5" s="113" t="s">
        <v>116</v>
      </c>
      <c r="C5" s="114">
        <f>SUMIF(Ricavi!J:J, "PCL*",Ricavi!L:L)</f>
        <v>3319903</v>
      </c>
      <c r="D5" s="114" cm="1">
        <f t="array" ref="D5">SUMPRODUCT(--ISNUMBER((SEARCH("PCL", Ricavi!$J$4:$J$64))), Ricavi!$L$4:$L$64, Ricavi!$M$4:$M$64)</f>
        <v>2489618.9618799998</v>
      </c>
      <c r="E5" s="132"/>
      <c r="F5" s="135" t="s">
        <v>113</v>
      </c>
      <c r="G5" s="137">
        <f>C6/$C$16</f>
        <v>0.42783811161011548</v>
      </c>
      <c r="H5" s="136">
        <f>G5*$C$18</f>
        <v>16483435.961118348</v>
      </c>
      <c r="I5" s="134">
        <f t="shared" si="0"/>
        <v>0.88723510283275686</v>
      </c>
    </row>
    <row r="6" spans="2:9" x14ac:dyDescent="0.3">
      <c r="B6" s="113" t="s">
        <v>204</v>
      </c>
      <c r="C6" s="114">
        <f>SUMIF(Ricavi!J:J, "PF P*",Ricavi!L:L)</f>
        <v>14624683</v>
      </c>
      <c r="D6" s="114" cm="1">
        <f t="array" ref="D6">SUMPRODUCT(--ISNUMBER((SEARCH("PF P", Ricavi!$J$4:$J$64))), Ricavi!$L$4:$L$64, Ricavi!$M$4:$M$64)</f>
        <v>43389917.016709402</v>
      </c>
      <c r="E6" s="132"/>
      <c r="F6" s="135" t="s">
        <v>208</v>
      </c>
      <c r="G6" s="137">
        <f>C7/$C$16</f>
        <v>0.18927681631073101</v>
      </c>
      <c r="H6" s="136">
        <f>G6*$C$18</f>
        <v>7292319.678676635</v>
      </c>
      <c r="I6" s="134">
        <f t="shared" si="0"/>
        <v>0.88723510283275675</v>
      </c>
    </row>
    <row r="7" spans="2:9" x14ac:dyDescent="0.3">
      <c r="B7" s="113" t="s">
        <v>205</v>
      </c>
      <c r="C7" s="114">
        <f>SUMIF(Ricavi!J:J, "PF V*",Ricavi!L:L)</f>
        <v>6470002</v>
      </c>
      <c r="D7" s="114" cm="1">
        <f t="array" ref="D7">SUMPRODUCT(--ISNUMBER((SEARCH("PF V", Ricavi!$J$4:$J$64))), Ricavi!$L$4:$L$64, Ricavi!$M$4:$M$64)</f>
        <v>9386776.6740170922</v>
      </c>
      <c r="E7" s="132"/>
      <c r="F7" s="135" t="s">
        <v>209</v>
      </c>
      <c r="G7" s="137">
        <f>C8/$C$16</f>
        <v>0.28245852450153008</v>
      </c>
      <c r="H7" s="136">
        <f>G7*$C$18</f>
        <v>10882356.839999827</v>
      </c>
      <c r="I7" s="134">
        <f t="shared" si="0"/>
        <v>0.88723510283275675</v>
      </c>
    </row>
    <row r="8" spans="2:9" x14ac:dyDescent="0.3">
      <c r="B8" s="113" t="s">
        <v>206</v>
      </c>
      <c r="C8" s="114">
        <f>SUMIF(Ricavi!J:J, "PF A*",Ricavi!L:L)</f>
        <v>9655208.9900000002</v>
      </c>
      <c r="D8" s="114" cm="1">
        <f t="array" ref="D8">SUMPRODUCT(--ISNUMBER((SEARCH("PF A", Ricavi!$J$4:$J$64))), Ricavi!$L$4:$L$64, Ricavi!$M$4:$M$64)</f>
        <v>15581855.327799987</v>
      </c>
      <c r="E8" s="132"/>
    </row>
    <row r="9" spans="2:9" x14ac:dyDescent="0.3">
      <c r="B9" s="155" t="s">
        <v>162</v>
      </c>
      <c r="C9" s="155"/>
      <c r="D9" s="155"/>
      <c r="E9" s="132"/>
      <c r="F9" s="135" t="s">
        <v>378</v>
      </c>
      <c r="G9" s="139">
        <f>SUM(G3:G7)</f>
        <v>1</v>
      </c>
      <c r="H9" s="140">
        <f>SUM(H3:H7)</f>
        <v>38527273.549999997</v>
      </c>
    </row>
    <row r="10" spans="2:9" x14ac:dyDescent="0.3">
      <c r="B10" s="113" t="s">
        <v>115</v>
      </c>
      <c r="C10" s="114">
        <f>Ricavi!C88</f>
        <v>240574.55000000005</v>
      </c>
      <c r="D10" s="114">
        <f>Ricavi!F88</f>
        <v>528226.62545000017</v>
      </c>
      <c r="E10" s="132"/>
    </row>
    <row r="11" spans="2:9" x14ac:dyDescent="0.3">
      <c r="B11" s="113" t="s">
        <v>116</v>
      </c>
      <c r="C11" s="114">
        <f>Ricavi!C89</f>
        <v>3223711</v>
      </c>
      <c r="D11" s="114">
        <f>Ricavi!F89</f>
        <v>1877590.3519999997</v>
      </c>
      <c r="E11" s="132"/>
    </row>
    <row r="12" spans="2:9" x14ac:dyDescent="0.3">
      <c r="B12" s="113" t="s">
        <v>204</v>
      </c>
      <c r="C12" s="114">
        <f>Ricavi!C90</f>
        <v>18642746</v>
      </c>
      <c r="D12" s="114">
        <f>Ricavi!F90</f>
        <v>39445016.509999998</v>
      </c>
      <c r="E12" s="132"/>
    </row>
    <row r="13" spans="2:9" x14ac:dyDescent="0.3">
      <c r="B13" s="113" t="s">
        <v>205</v>
      </c>
      <c r="C13" s="114">
        <f>Ricavi!C91</f>
        <v>6692984</v>
      </c>
      <c r="D13" s="114">
        <f>Ricavi!F91</f>
        <v>8028278.8500000006</v>
      </c>
      <c r="E13" s="132"/>
    </row>
    <row r="14" spans="2:9" x14ac:dyDescent="0.3">
      <c r="B14" s="113" t="s">
        <v>206</v>
      </c>
      <c r="C14" s="114">
        <f>Ricavi!C92</f>
        <v>9727258</v>
      </c>
      <c r="D14" s="114">
        <f>Ricavi!F92</f>
        <v>13754406.152800001</v>
      </c>
      <c r="E14" s="132"/>
    </row>
    <row r="15" spans="2:9" x14ac:dyDescent="0.3">
      <c r="B15" s="115"/>
      <c r="C15" s="132"/>
      <c r="D15" s="132"/>
      <c r="E15" s="132"/>
    </row>
    <row r="16" spans="2:9" x14ac:dyDescent="0.3">
      <c r="B16" t="s">
        <v>355</v>
      </c>
      <c r="C16" s="133">
        <f>SUM(C4:C8)</f>
        <v>34182749.509999998</v>
      </c>
      <c r="D16" s="133">
        <f>SUM(D4:D8)</f>
        <v>71044752.22230649</v>
      </c>
      <c r="H16" s="136"/>
    </row>
    <row r="17" spans="1:9" x14ac:dyDescent="0.3">
      <c r="E17" s="128"/>
    </row>
    <row r="18" spans="1:9" x14ac:dyDescent="0.3">
      <c r="B18" s="115" t="s">
        <v>354</v>
      </c>
      <c r="C18" s="141">
        <f>SUM(C10:C14)</f>
        <v>38527273.549999997</v>
      </c>
    </row>
    <row r="20" spans="1:9" x14ac:dyDescent="0.3">
      <c r="A20" s="115"/>
      <c r="B20" s="116" t="s">
        <v>307</v>
      </c>
      <c r="C20" s="116" t="s">
        <v>308</v>
      </c>
      <c r="D20" s="116" t="s">
        <v>309</v>
      </c>
      <c r="E20" s="116" t="s">
        <v>310</v>
      </c>
      <c r="F20" s="116" t="s">
        <v>311</v>
      </c>
      <c r="G20" s="116" t="s">
        <v>397</v>
      </c>
      <c r="H20" s="116" t="s">
        <v>312</v>
      </c>
      <c r="I20" s="116" t="s">
        <v>313</v>
      </c>
    </row>
    <row r="21" spans="1:9" x14ac:dyDescent="0.3">
      <c r="A21" s="153" t="s">
        <v>314</v>
      </c>
      <c r="B21" s="117" t="s">
        <v>315</v>
      </c>
      <c r="C21" s="118">
        <f>C4</f>
        <v>112952.51999999999</v>
      </c>
      <c r="D21" s="118">
        <f>SUMIF(Ricavi!B:B, "MP*", Ricavi!D:D)</f>
        <v>240574.55000000005</v>
      </c>
      <c r="E21" s="118">
        <f>D21-C21</f>
        <v>127622.03000000006</v>
      </c>
      <c r="F21" s="118">
        <f>H3</f>
        <v>127308.44354485766</v>
      </c>
      <c r="G21" s="118">
        <f>F21-C21</f>
        <v>14355.923544857666</v>
      </c>
      <c r="H21" s="118"/>
      <c r="I21" s="118"/>
    </row>
    <row r="22" spans="1:9" x14ac:dyDescent="0.3">
      <c r="A22" s="153"/>
      <c r="B22" s="117" t="s">
        <v>316</v>
      </c>
      <c r="C22" s="118">
        <f>C5</f>
        <v>3319903</v>
      </c>
      <c r="D22" s="118">
        <f>SUMIF(Ricavi!B:B, "PCL*", Ricavi!D:D)</f>
        <v>3223711</v>
      </c>
      <c r="E22" s="118">
        <f>D22-C22</f>
        <v>-96192</v>
      </c>
      <c r="F22" s="118">
        <f>H4</f>
        <v>3741852.6266603312</v>
      </c>
      <c r="G22" s="118">
        <f t="shared" ref="G22:G31" si="1">F22-C22</f>
        <v>421949.62666033115</v>
      </c>
      <c r="H22" s="118"/>
      <c r="I22" s="118"/>
    </row>
    <row r="23" spans="1:9" x14ac:dyDescent="0.3">
      <c r="A23" s="153"/>
      <c r="B23" s="117" t="s">
        <v>317</v>
      </c>
      <c r="C23" s="118">
        <f>C6</f>
        <v>14624683</v>
      </c>
      <c r="D23" s="118">
        <f>SUMIF(Ricavi!B:B, "PF P*", Ricavi!D:D)</f>
        <v>18642746</v>
      </c>
      <c r="E23" s="118">
        <f>D23-C23</f>
        <v>4018063</v>
      </c>
      <c r="F23" s="118">
        <f>H5</f>
        <v>16483435.961118348</v>
      </c>
      <c r="G23" s="118">
        <f t="shared" si="1"/>
        <v>1858752.9611183479</v>
      </c>
      <c r="H23" s="118"/>
      <c r="I23" s="118"/>
    </row>
    <row r="24" spans="1:9" x14ac:dyDescent="0.3">
      <c r="A24" s="153"/>
      <c r="B24" s="117" t="s">
        <v>318</v>
      </c>
      <c r="C24" s="118">
        <f>C7</f>
        <v>6470002</v>
      </c>
      <c r="D24" s="118">
        <f>SUMIF(Ricavi!B:B, "PF V*", Ricavi!D:D)</f>
        <v>6692984</v>
      </c>
      <c r="E24" s="118">
        <f>D24-C24</f>
        <v>222982</v>
      </c>
      <c r="F24" s="118">
        <f>H6</f>
        <v>7292319.678676635</v>
      </c>
      <c r="G24" s="118">
        <f t="shared" si="1"/>
        <v>822317.67867663503</v>
      </c>
      <c r="H24" s="118"/>
      <c r="I24" s="118"/>
    </row>
    <row r="25" spans="1:9" x14ac:dyDescent="0.3">
      <c r="A25" s="153"/>
      <c r="B25" s="117" t="s">
        <v>319</v>
      </c>
      <c r="C25" s="118">
        <f>C8</f>
        <v>9655208.9900000002</v>
      </c>
      <c r="D25" s="118">
        <f>SUMIF(Ricavi!B:B, "PF A*", Ricavi!D:D)</f>
        <v>9727258</v>
      </c>
      <c r="E25" s="118">
        <f>D25-C25</f>
        <v>72049.009999999776</v>
      </c>
      <c r="F25" s="118">
        <f>H7</f>
        <v>10882356.839999827</v>
      </c>
      <c r="G25" s="118">
        <f t="shared" si="1"/>
        <v>1227147.8499998264</v>
      </c>
      <c r="H25" s="118"/>
      <c r="I25" s="118"/>
    </row>
    <row r="26" spans="1:9" x14ac:dyDescent="0.3">
      <c r="A26" s="115"/>
      <c r="B26" s="119"/>
      <c r="C26" s="120"/>
      <c r="D26" s="120"/>
      <c r="E26" s="120"/>
      <c r="F26" s="120"/>
      <c r="G26" s="120"/>
      <c r="H26" s="120"/>
      <c r="I26" s="120"/>
    </row>
    <row r="27" spans="1:9" x14ac:dyDescent="0.3">
      <c r="A27" s="153" t="s">
        <v>320</v>
      </c>
      <c r="B27" s="117" t="s">
        <v>321</v>
      </c>
      <c r="C27" s="121">
        <f>Ricavi!I94</f>
        <v>133298.61836846152</v>
      </c>
      <c r="D27" s="118">
        <f>Ricavi!I88</f>
        <v>369758.63781500002</v>
      </c>
      <c r="E27" s="118">
        <f t="shared" ref="E26:E31" si="2">D27-C27</f>
        <v>236460.0194465385</v>
      </c>
      <c r="F27" s="121">
        <f>C27/C21*F21</f>
        <v>150240.46945715608</v>
      </c>
      <c r="G27" s="118">
        <f t="shared" si="1"/>
        <v>16941.851088694559</v>
      </c>
      <c r="H27" s="118"/>
      <c r="I27" s="118"/>
    </row>
    <row r="28" spans="1:9" x14ac:dyDescent="0.3">
      <c r="A28" s="153"/>
      <c r="B28" s="117" t="s">
        <v>322</v>
      </c>
      <c r="C28" s="121">
        <f>Ricavi!I95</f>
        <v>1908077.8488700001</v>
      </c>
      <c r="D28" s="118">
        <f>Ricavi!I89</f>
        <v>1905226.9779699999</v>
      </c>
      <c r="E28" s="118">
        <f t="shared" si="2"/>
        <v>-2850.8709000002127</v>
      </c>
      <c r="F28" s="121">
        <f t="shared" ref="F28:F31" si="3">C28/C22*F22</f>
        <v>2150588.7704148595</v>
      </c>
      <c r="G28" s="118">
        <f>F28-C28</f>
        <v>242510.92154485942</v>
      </c>
      <c r="H28" s="118"/>
      <c r="I28" s="118"/>
    </row>
    <row r="29" spans="1:9" x14ac:dyDescent="0.3">
      <c r="A29" s="153"/>
      <c r="B29" s="117" t="s">
        <v>323</v>
      </c>
      <c r="C29" s="121">
        <f>Ricavi!I96</f>
        <v>31393678.94368</v>
      </c>
      <c r="D29" s="118">
        <f>Ricavi!I90</f>
        <v>27745756.957399998</v>
      </c>
      <c r="E29" s="118">
        <f t="shared" si="2"/>
        <v>-3647921.9862800017</v>
      </c>
      <c r="F29" s="121">
        <f t="shared" si="3"/>
        <v>35383720.553263187</v>
      </c>
      <c r="G29" s="118">
        <f t="shared" si="1"/>
        <v>3990041.6095831878</v>
      </c>
      <c r="H29" s="118"/>
      <c r="I29" s="118"/>
    </row>
    <row r="30" spans="1:9" x14ac:dyDescent="0.3">
      <c r="A30" s="153"/>
      <c r="B30" s="117" t="s">
        <v>324</v>
      </c>
      <c r="C30" s="121">
        <f>Ricavi!I97</f>
        <v>7327637.1359800007</v>
      </c>
      <c r="D30" s="118">
        <f>Ricavi!I91</f>
        <v>5708079.1300799996</v>
      </c>
      <c r="E30" s="118">
        <f t="shared" si="2"/>
        <v>-1619558.0059000012</v>
      </c>
      <c r="F30" s="121">
        <f t="shared" si="3"/>
        <v>8258957.6455940278</v>
      </c>
      <c r="G30" s="118">
        <f t="shared" si="1"/>
        <v>931320.50961402711</v>
      </c>
      <c r="H30" s="118"/>
      <c r="I30" s="118"/>
    </row>
    <row r="31" spans="1:9" x14ac:dyDescent="0.3">
      <c r="A31" s="153"/>
      <c r="B31" s="117" t="s">
        <v>325</v>
      </c>
      <c r="C31" s="121">
        <f>Ricavi!I98</f>
        <v>11997868.349595502</v>
      </c>
      <c r="D31" s="118">
        <f>Ricavi!I92</f>
        <v>11141983.814000003</v>
      </c>
      <c r="E31" s="118">
        <f t="shared" si="2"/>
        <v>-855884.53559549898</v>
      </c>
      <c r="F31" s="121">
        <f t="shared" si="3"/>
        <v>13522761.116291285</v>
      </c>
      <c r="G31" s="118">
        <f t="shared" si="1"/>
        <v>1524892.7666957825</v>
      </c>
      <c r="H31" s="118"/>
      <c r="I31" s="118"/>
    </row>
    <row r="32" spans="1:9" x14ac:dyDescent="0.3">
      <c r="A32" s="115"/>
      <c r="B32" s="122"/>
      <c r="C32" s="120"/>
      <c r="D32" s="120"/>
      <c r="E32" s="120"/>
      <c r="F32" s="120"/>
      <c r="G32" s="120"/>
      <c r="H32" s="120"/>
      <c r="I32" s="120"/>
    </row>
    <row r="33" spans="1:9" x14ac:dyDescent="0.3">
      <c r="A33" s="115"/>
      <c r="B33" s="117" t="s">
        <v>326</v>
      </c>
      <c r="C33" s="118">
        <f>D4</f>
        <v>196584.24189999999</v>
      </c>
      <c r="D33" s="118" cm="1">
        <f t="array" ref="D33">SUMPRODUCT(--ISNUMBER((SEARCH("MP", Ricavi!$B$4:$B$76))), Ricavi!$D$4:$D$76, Ricavi!$E$4:$E$76)</f>
        <v>528226.62545000017</v>
      </c>
      <c r="E33" s="118">
        <f>D33-C33</f>
        <v>331642.38355000014</v>
      </c>
      <c r="F33" s="118">
        <f>F21*Ricavi!K94</f>
        <v>221569.50426369233</v>
      </c>
      <c r="G33" s="118">
        <f t="shared" ref="G33:G96" si="4">F33-C33</f>
        <v>24985.262363692338</v>
      </c>
      <c r="H33" s="118"/>
      <c r="I33" s="118"/>
    </row>
    <row r="34" spans="1:9" x14ac:dyDescent="0.3">
      <c r="B34" s="117" t="s">
        <v>327</v>
      </c>
      <c r="C34" s="118">
        <f>D5</f>
        <v>2489618.9618799998</v>
      </c>
      <c r="D34" s="118" cm="1">
        <f t="array" ref="D34">SUMPRODUCT(--ISNUMBER((SEARCH("PCL", Ricavi!$B$4:$B$76))), Ricavi!$D$4:$D$76, Ricavi!$E$4:$E$76)</f>
        <v>1877590.3519999997</v>
      </c>
      <c r="E34" s="118">
        <f>D34-C34</f>
        <v>-612028.60988000012</v>
      </c>
      <c r="F34" s="118">
        <f>F22*Ricavi!K95</f>
        <v>2806041.9993879469</v>
      </c>
      <c r="G34" s="118">
        <f t="shared" si="4"/>
        <v>316423.03750794707</v>
      </c>
      <c r="H34" s="123"/>
      <c r="I34" s="123"/>
    </row>
    <row r="35" spans="1:9" x14ac:dyDescent="0.3">
      <c r="B35" s="117" t="s">
        <v>328</v>
      </c>
      <c r="C35" s="118">
        <f>D6</f>
        <v>43389917.016709402</v>
      </c>
      <c r="D35" s="118" cm="1">
        <f t="array" ref="D35">SUMPRODUCT(--ISNUMBER((SEARCH("PF P", Ricavi!$B$4:$B$76))), Ricavi!$D$4:$D$76, Ricavi!$E$4:$E$76)</f>
        <v>39445016.509999998</v>
      </c>
      <c r="E35" s="118">
        <f>D35-C35</f>
        <v>-3944900.5067094043</v>
      </c>
      <c r="F35" s="118">
        <f>F23*Ricavi!K96</f>
        <v>48904644.189769357</v>
      </c>
      <c r="G35" s="118">
        <f t="shared" si="4"/>
        <v>5514727.1730599552</v>
      </c>
      <c r="H35" s="123"/>
      <c r="I35" s="123"/>
    </row>
    <row r="36" spans="1:9" x14ac:dyDescent="0.3">
      <c r="B36" s="117" t="s">
        <v>329</v>
      </c>
      <c r="C36" s="118">
        <f>D7</f>
        <v>9386776.6740170922</v>
      </c>
      <c r="D36" s="118" cm="1">
        <f t="array" ref="D36">SUMPRODUCT(--ISNUMBER((SEARCH("PF V", Ricavi!$B$4:$B$76))), Ricavi!$D$4:$D$76, Ricavi!$E$4:$E$76)</f>
        <v>8028278.8500000006</v>
      </c>
      <c r="E36" s="118">
        <f>D36-C36</f>
        <v>-1358497.8240170917</v>
      </c>
      <c r="F36" s="118">
        <f>F24*Ricavi!K97</f>
        <v>10579807.588819548</v>
      </c>
      <c r="G36" s="118">
        <f t="shared" si="4"/>
        <v>1193030.9148024563</v>
      </c>
      <c r="H36" s="123"/>
      <c r="I36" s="123"/>
    </row>
    <row r="37" spans="1:9" x14ac:dyDescent="0.3">
      <c r="B37" s="117" t="s">
        <v>330</v>
      </c>
      <c r="C37" s="118">
        <f>D8</f>
        <v>15581855.327799987</v>
      </c>
      <c r="D37" s="118" cm="1">
        <f t="array" ref="D37">SUMPRODUCT(--ISNUMBER((SEARCH("PF A", Ricavi!$B$4:$B$76))), Ricavi!$D$4:$D$76, Ricavi!$E$4:$E$76)</f>
        <v>13754406.152800001</v>
      </c>
      <c r="E37" s="118">
        <f>D37-C37</f>
        <v>-1827449.1749999858</v>
      </c>
      <c r="F37" s="118">
        <f>F25*Ricavi!K98</f>
        <v>17562261.995778088</v>
      </c>
      <c r="G37" s="118">
        <f t="shared" si="4"/>
        <v>1980406.6679781005</v>
      </c>
      <c r="H37" s="123"/>
      <c r="I37" s="123"/>
    </row>
    <row r="38" spans="1:9" x14ac:dyDescent="0.3">
      <c r="B38" s="124"/>
      <c r="C38" s="125"/>
      <c r="D38" s="125"/>
      <c r="E38" s="125"/>
      <c r="F38" s="125"/>
      <c r="G38" s="125"/>
      <c r="H38" s="125"/>
      <c r="I38" s="125"/>
    </row>
    <row r="39" spans="1:9" x14ac:dyDescent="0.3">
      <c r="B39" s="117" t="s">
        <v>331</v>
      </c>
      <c r="C39" s="118">
        <f>SUM(C35:C37)</f>
        <v>68358549.01852648</v>
      </c>
      <c r="D39" s="118">
        <f>SUM(D35:D37)</f>
        <v>61227701.512800001</v>
      </c>
      <c r="E39" s="118">
        <f>D39-C39</f>
        <v>-7130847.505726479</v>
      </c>
      <c r="F39" s="123">
        <f>SUM(F35:F37)</f>
        <v>77046713.77436699</v>
      </c>
      <c r="G39" s="118">
        <f t="shared" si="4"/>
        <v>8688164.7558405101</v>
      </c>
      <c r="H39" s="123"/>
      <c r="I39" s="123"/>
    </row>
    <row r="40" spans="1:9" x14ac:dyDescent="0.3">
      <c r="B40" s="117" t="s">
        <v>326</v>
      </c>
      <c r="C40" s="118">
        <f>C33</f>
        <v>196584.24189999999</v>
      </c>
      <c r="D40" s="123">
        <f>D33</f>
        <v>528226.62545000017</v>
      </c>
      <c r="E40" s="118">
        <f t="shared" ref="E40:E101" si="5">D40-C40</f>
        <v>331642.38355000014</v>
      </c>
      <c r="F40" s="123">
        <f>F33</f>
        <v>221569.50426369233</v>
      </c>
      <c r="G40" s="118">
        <f t="shared" si="4"/>
        <v>24985.262363692338</v>
      </c>
      <c r="H40" s="123"/>
      <c r="I40" s="123"/>
    </row>
    <row r="41" spans="1:9" x14ac:dyDescent="0.3">
      <c r="B41" s="117" t="s">
        <v>327</v>
      </c>
      <c r="C41" s="118">
        <f>C34</f>
        <v>2489618.9618799998</v>
      </c>
      <c r="D41" s="126">
        <f>D34</f>
        <v>1877590.3519999997</v>
      </c>
      <c r="E41" s="118">
        <f t="shared" si="5"/>
        <v>-612028.60988000012</v>
      </c>
      <c r="F41" s="123">
        <f>F34</f>
        <v>2806041.9993879469</v>
      </c>
      <c r="G41" s="118">
        <f t="shared" si="4"/>
        <v>316423.03750794707</v>
      </c>
      <c r="H41" s="123"/>
      <c r="I41" s="123"/>
    </row>
    <row r="42" spans="1:9" x14ac:dyDescent="0.3">
      <c r="B42" s="117" t="s">
        <v>332</v>
      </c>
      <c r="C42" s="123">
        <f>Ricavi!L65 - Ricavi!M66*Ricavi!L66</f>
        <v>-202771.84999999998</v>
      </c>
      <c r="D42" s="123">
        <f>SUM(Ricavi!E77*Ricavi!D77,Ricavi!D78*(-Ricavi!E78),Ricavi!D79*Ricavi!E79)</f>
        <v>66957.510000000068</v>
      </c>
      <c r="E42" s="118">
        <f t="shared" si="5"/>
        <v>269729.36000000004</v>
      </c>
      <c r="F42" s="123">
        <f>SUM(-Ricavi!D78*Ricavi!M66,)</f>
        <v>-284714.8125</v>
      </c>
      <c r="G42" s="118">
        <f t="shared" si="4"/>
        <v>-81942.962500000023</v>
      </c>
      <c r="H42" s="123"/>
      <c r="I42" s="123"/>
    </row>
    <row r="43" spans="1:9" x14ac:dyDescent="0.3">
      <c r="B43" s="117" t="s">
        <v>333</v>
      </c>
      <c r="C43" s="123">
        <v>0</v>
      </c>
      <c r="D43" s="123">
        <v>500000</v>
      </c>
      <c r="E43" s="118">
        <f t="shared" si="5"/>
        <v>500000</v>
      </c>
      <c r="F43" s="123">
        <v>0</v>
      </c>
      <c r="G43" s="118">
        <f t="shared" si="4"/>
        <v>0</v>
      </c>
      <c r="H43" s="123"/>
      <c r="I43" s="123"/>
    </row>
    <row r="44" spans="1:9" x14ac:dyDescent="0.3">
      <c r="B44" s="119"/>
      <c r="C44" s="125"/>
      <c r="D44" s="125"/>
      <c r="E44" s="120"/>
      <c r="F44" s="125"/>
      <c r="G44" s="125"/>
      <c r="H44" s="125"/>
      <c r="I44" s="125"/>
    </row>
    <row r="45" spans="1:9" x14ac:dyDescent="0.3">
      <c r="B45" s="127" t="s">
        <v>334</v>
      </c>
      <c r="C45" s="123">
        <f xml:space="preserve"> SUM(C39:C43)</f>
        <v>70841980.372306481</v>
      </c>
      <c r="D45" s="123">
        <f xml:space="preserve"> SUM(D39:D43)</f>
        <v>64200476.000249997</v>
      </c>
      <c r="E45" s="118">
        <f t="shared" si="5"/>
        <v>-6641504.3720564842</v>
      </c>
      <c r="F45" s="118">
        <f xml:space="preserve"> SUM(F39:F43)</f>
        <v>79789610.465518638</v>
      </c>
      <c r="G45" s="118">
        <f t="shared" si="4"/>
        <v>8947630.0932121575</v>
      </c>
      <c r="H45" s="123"/>
      <c r="I45" s="123"/>
    </row>
    <row r="46" spans="1:9" x14ac:dyDescent="0.3">
      <c r="B46" s="119"/>
      <c r="C46" s="125"/>
      <c r="D46" s="125"/>
      <c r="E46" s="120"/>
      <c r="F46" s="125"/>
      <c r="G46" s="125"/>
      <c r="H46" s="125"/>
      <c r="I46" s="125"/>
    </row>
    <row r="47" spans="1:9" x14ac:dyDescent="0.3">
      <c r="B47" t="s">
        <v>335</v>
      </c>
      <c r="C47" s="123" cm="1">
        <f t="array" ref="C47">-SUM(RicaviBudget!D3:D63*RicaviBudget!F3:F63)</f>
        <v>-52760560.896493942</v>
      </c>
      <c r="D47" s="123">
        <f>D50+D48</f>
        <v>-49370805.517265007</v>
      </c>
      <c r="E47" s="118">
        <f t="shared" si="5"/>
        <v>3389755.3792289346</v>
      </c>
      <c r="F47" s="123">
        <f>-SUM(F27:F31)</f>
        <v>-59466268.555020519</v>
      </c>
      <c r="G47" s="118">
        <f t="shared" si="4"/>
        <v>-6705707.6585265771</v>
      </c>
      <c r="H47" s="123"/>
      <c r="I47" s="123"/>
    </row>
    <row r="48" spans="1:9" x14ac:dyDescent="0.3">
      <c r="B48" t="s">
        <v>336</v>
      </c>
      <c r="C48" s="123">
        <v>0</v>
      </c>
      <c r="D48" s="123">
        <f>-'CE 21-22'!C12</f>
        <v>-2500000</v>
      </c>
      <c r="E48" s="118">
        <f t="shared" si="5"/>
        <v>-2500000</v>
      </c>
      <c r="F48" s="123">
        <v>0</v>
      </c>
      <c r="G48" s="118">
        <f t="shared" si="4"/>
        <v>0</v>
      </c>
      <c r="H48" s="123"/>
      <c r="I48" s="123"/>
    </row>
    <row r="49" spans="2:9" x14ac:dyDescent="0.3">
      <c r="B49" s="119"/>
      <c r="C49" s="125"/>
      <c r="D49" s="125"/>
      <c r="E49" s="120"/>
      <c r="F49" s="125"/>
      <c r="G49" s="125"/>
      <c r="H49" s="125"/>
      <c r="I49" s="125"/>
    </row>
    <row r="50" spans="2:9" x14ac:dyDescent="0.3">
      <c r="B50" s="127" t="s">
        <v>337</v>
      </c>
      <c r="C50" s="123">
        <f>SUM(C47:C48)</f>
        <v>-52760560.896493942</v>
      </c>
      <c r="D50" s="123" cm="1">
        <f t="array" ref="D50">-SUM(Ricavi!D4:D76*Ricavi!F4:F76)</f>
        <v>-46870805.517265007</v>
      </c>
      <c r="E50" s="118">
        <f t="shared" si="5"/>
        <v>5889755.3792289346</v>
      </c>
      <c r="F50" s="118">
        <f>SUM(F47:F48)</f>
        <v>-59466268.555020519</v>
      </c>
      <c r="G50" s="118">
        <f t="shared" si="4"/>
        <v>-6705707.6585265771</v>
      </c>
      <c r="H50" s="123"/>
      <c r="I50" s="123"/>
    </row>
    <row r="51" spans="2:9" x14ac:dyDescent="0.3">
      <c r="B51" s="119"/>
      <c r="C51" s="125"/>
      <c r="D51" s="125"/>
      <c r="E51" s="120"/>
      <c r="F51" s="125"/>
      <c r="G51" s="125"/>
      <c r="H51" s="125"/>
      <c r="I51" s="125"/>
    </row>
    <row r="52" spans="2:9" x14ac:dyDescent="0.3">
      <c r="B52" t="s">
        <v>338</v>
      </c>
      <c r="C52" s="128">
        <f>'CE Budget 2022'!C14</f>
        <v>-3445836.3538936325</v>
      </c>
      <c r="D52" s="128">
        <f>'CE Budget 2022'!F14</f>
        <v>-4152707.4956527753</v>
      </c>
      <c r="E52" s="118">
        <f t="shared" si="5"/>
        <v>-706871.14175914275</v>
      </c>
      <c r="F52" s="128">
        <f>-VariableCostsC!G9-VariableCostsC!G10-VariableCostsC!G15</f>
        <v>-3544829.5016939119</v>
      </c>
      <c r="G52" s="118">
        <f t="shared" si="4"/>
        <v>-98993.147800279316</v>
      </c>
    </row>
    <row r="53" spans="2:9" x14ac:dyDescent="0.3">
      <c r="B53" t="s">
        <v>228</v>
      </c>
      <c r="C53" s="128">
        <f>'CE Budget 2022'!C15</f>
        <v>-153750</v>
      </c>
      <c r="D53" s="128">
        <v>-175000</v>
      </c>
      <c r="E53" s="118">
        <f t="shared" si="5"/>
        <v>-21250</v>
      </c>
      <c r="F53" s="128">
        <f>-VariableCostsC!G11</f>
        <v>-153750</v>
      </c>
      <c r="G53" s="118">
        <f t="shared" si="4"/>
        <v>0</v>
      </c>
    </row>
    <row r="54" spans="2:9" x14ac:dyDescent="0.3">
      <c r="B54" t="s">
        <v>339</v>
      </c>
      <c r="C54" s="128">
        <f>'CE Budget 2022'!C16</f>
        <v>-449211.74630400003</v>
      </c>
      <c r="D54" s="128">
        <v>-519959.9495168</v>
      </c>
      <c r="E54" s="118">
        <f t="shared" si="5"/>
        <v>-70748.20321279997</v>
      </c>
      <c r="F54" s="128">
        <f>-VariableCostsC!G12</f>
        <v>-467988.62923513958</v>
      </c>
      <c r="G54" s="118">
        <f t="shared" si="4"/>
        <v>-18776.882931139553</v>
      </c>
    </row>
    <row r="55" spans="2:9" x14ac:dyDescent="0.3">
      <c r="B55" s="119"/>
      <c r="C55" s="125"/>
      <c r="D55" s="125"/>
      <c r="E55" s="120"/>
      <c r="F55" s="125"/>
      <c r="G55" s="125"/>
      <c r="H55" s="125"/>
      <c r="I55" s="125"/>
    </row>
    <row r="56" spans="2:9" x14ac:dyDescent="0.3">
      <c r="B56" s="127" t="s">
        <v>340</v>
      </c>
      <c r="C56" s="128">
        <f>SUM(C52:C54)</f>
        <v>-4048798.1001976328</v>
      </c>
      <c r="D56" s="128">
        <f>SUM(D52:D54)</f>
        <v>-4847667.4451695755</v>
      </c>
      <c r="E56" s="128">
        <f>SUM(E52:E54)</f>
        <v>-798869.34497194272</v>
      </c>
      <c r="F56" s="128">
        <f>SUM(F52:F54)</f>
        <v>-4166568.1309290514</v>
      </c>
      <c r="G56" s="128">
        <f>SUM(G52:G54)</f>
        <v>-117770.03073141887</v>
      </c>
    </row>
    <row r="57" spans="2:9" x14ac:dyDescent="0.3">
      <c r="B57" s="119"/>
      <c r="C57" s="125"/>
      <c r="D57" s="125"/>
      <c r="E57" s="120"/>
      <c r="F57" s="125"/>
      <c r="G57" s="125"/>
      <c r="H57" s="125"/>
      <c r="I57" s="125"/>
    </row>
    <row r="58" spans="2:9" x14ac:dyDescent="0.3">
      <c r="B58" t="s">
        <v>341</v>
      </c>
      <c r="C58" s="128">
        <f>'CE Budget 2022'!C18</f>
        <v>-1471815.2299680002</v>
      </c>
      <c r="D58" s="128">
        <v>-1000000</v>
      </c>
      <c r="E58" s="118">
        <f t="shared" si="5"/>
        <v>471815.2299680002</v>
      </c>
      <c r="F58" s="128">
        <f>-VariableCostsC!G13</f>
        <v>-1497230.4591271358</v>
      </c>
      <c r="G58" s="118">
        <f t="shared" si="4"/>
        <v>-25415.229159135604</v>
      </c>
    </row>
    <row r="59" spans="2:9" x14ac:dyDescent="0.3">
      <c r="B59" t="s">
        <v>342</v>
      </c>
      <c r="C59" s="128">
        <f>'CE Budget 2022'!C19</f>
        <v>-867798.34033418808</v>
      </c>
      <c r="D59" s="128">
        <v>-550000</v>
      </c>
      <c r="E59" s="118">
        <f t="shared" si="5"/>
        <v>317798.34033418808</v>
      </c>
      <c r="F59" s="128">
        <f>-VariableCostsC!G14</f>
        <v>-788900.33019999997</v>
      </c>
      <c r="G59" s="118">
        <f t="shared" si="4"/>
        <v>78898.010134188109</v>
      </c>
    </row>
    <row r="60" spans="2:9" x14ac:dyDescent="0.3">
      <c r="B60" s="119"/>
      <c r="C60" s="125"/>
      <c r="D60" s="125"/>
      <c r="E60" s="120"/>
      <c r="F60" s="125"/>
      <c r="G60" s="125"/>
      <c r="H60" s="125"/>
      <c r="I60" s="125"/>
    </row>
    <row r="61" spans="2:9" x14ac:dyDescent="0.3">
      <c r="B61" s="127" t="s">
        <v>343</v>
      </c>
      <c r="C61" s="128">
        <f>SUM(C58+C59)</f>
        <v>-2339613.5703021884</v>
      </c>
      <c r="D61" s="128">
        <v>-1550000</v>
      </c>
      <c r="E61" s="118">
        <f t="shared" si="5"/>
        <v>789613.5703021884</v>
      </c>
      <c r="F61" s="128">
        <f>SUM(F58:F59)</f>
        <v>-2286130.7893271358</v>
      </c>
      <c r="G61" s="118">
        <f t="shared" si="4"/>
        <v>53482.780975052621</v>
      </c>
    </row>
    <row r="62" spans="2:9" x14ac:dyDescent="0.3">
      <c r="B62" s="119"/>
      <c r="C62" s="125"/>
      <c r="D62" s="125"/>
      <c r="E62" s="120"/>
      <c r="F62" s="125"/>
      <c r="G62" s="125"/>
      <c r="H62" s="125"/>
      <c r="I62" s="125"/>
    </row>
    <row r="63" spans="2:9" x14ac:dyDescent="0.3">
      <c r="B63" s="130" t="s">
        <v>344</v>
      </c>
      <c r="C63" s="128">
        <f>C45+C50+C56+C61</f>
        <v>11693007.805312719</v>
      </c>
      <c r="D63" s="128">
        <f>D45+D50+D56+D61</f>
        <v>10932003.037815414</v>
      </c>
      <c r="E63" s="118">
        <f t="shared" si="5"/>
        <v>-761004.76749730483</v>
      </c>
      <c r="F63" s="128">
        <f>SUM(F45,F50,F56,F61)</f>
        <v>13870642.990241934</v>
      </c>
      <c r="G63" s="118">
        <f t="shared" si="4"/>
        <v>2177635.1849292144</v>
      </c>
    </row>
    <row r="64" spans="2:9" x14ac:dyDescent="0.3">
      <c r="B64" t="s">
        <v>345</v>
      </c>
      <c r="C64" s="128">
        <f>-FixedCostsBudget!C3</f>
        <v>-5594785.9100000001</v>
      </c>
      <c r="D64" s="128">
        <f>'CE Budget 2022'!F22</f>
        <v>-5650000</v>
      </c>
      <c r="E64" s="118">
        <f t="shared" si="5"/>
        <v>-55214.089999999851</v>
      </c>
      <c r="F64" s="128">
        <f>C64</f>
        <v>-5594785.9100000001</v>
      </c>
      <c r="G64" s="118">
        <f t="shared" si="4"/>
        <v>0</v>
      </c>
    </row>
    <row r="65" spans="2:9" x14ac:dyDescent="0.3">
      <c r="B65" t="s">
        <v>238</v>
      </c>
      <c r="C65" s="128">
        <f>-FixedCostsBudget!C5</f>
        <v>-1050000</v>
      </c>
      <c r="D65" s="128">
        <f>'CE Budget 2022'!F23</f>
        <v>-1100000</v>
      </c>
      <c r="E65" s="118">
        <f t="shared" si="5"/>
        <v>-50000</v>
      </c>
      <c r="F65" s="128">
        <f t="shared" ref="F65:F69" si="6">C65</f>
        <v>-1050000</v>
      </c>
      <c r="G65" s="118">
        <f t="shared" si="4"/>
        <v>0</v>
      </c>
    </row>
    <row r="66" spans="2:9" x14ac:dyDescent="0.3">
      <c r="B66" t="s">
        <v>239</v>
      </c>
      <c r="C66" s="128">
        <f>-FixedCostsBudget!C7</f>
        <v>-307500</v>
      </c>
      <c r="D66" s="128">
        <f>'CE Budget 2022'!F24</f>
        <v>-305000</v>
      </c>
      <c r="E66" s="118">
        <f t="shared" si="5"/>
        <v>2500</v>
      </c>
      <c r="F66" s="128">
        <f t="shared" si="6"/>
        <v>-307500</v>
      </c>
      <c r="G66" s="118">
        <f t="shared" si="4"/>
        <v>0</v>
      </c>
    </row>
    <row r="67" spans="2:9" x14ac:dyDescent="0.3">
      <c r="B67" t="s">
        <v>346</v>
      </c>
      <c r="C67" s="128">
        <f>-FixedCostsBudget!C9</f>
        <v>-151700</v>
      </c>
      <c r="D67" s="128">
        <f>'CE Budget 2022'!F25</f>
        <v>-145000</v>
      </c>
      <c r="E67" s="118">
        <f t="shared" si="5"/>
        <v>6700</v>
      </c>
      <c r="F67" s="128">
        <f t="shared" si="6"/>
        <v>-151700</v>
      </c>
      <c r="G67" s="118">
        <f t="shared" si="4"/>
        <v>0</v>
      </c>
    </row>
    <row r="68" spans="2:9" x14ac:dyDescent="0.3">
      <c r="B68" t="s">
        <v>347</v>
      </c>
      <c r="C68" s="128">
        <f>-FixedCostsBudget!C11</f>
        <v>-309550</v>
      </c>
      <c r="D68" s="128">
        <f>'CE Budget 2022'!F26</f>
        <v>-307000</v>
      </c>
      <c r="E68" s="118">
        <f t="shared" si="5"/>
        <v>2550</v>
      </c>
      <c r="F68" s="128">
        <f t="shared" si="6"/>
        <v>-309550</v>
      </c>
      <c r="G68" s="118">
        <f t="shared" si="4"/>
        <v>0</v>
      </c>
    </row>
    <row r="69" spans="2:9" x14ac:dyDescent="0.3">
      <c r="B69" t="s">
        <v>348</v>
      </c>
      <c r="C69" s="128">
        <f>-FixedCostsBudget!C13</f>
        <v>-212174.99999999997</v>
      </c>
      <c r="D69" s="128">
        <f>'CE Budget 2022'!F27</f>
        <v>-209500</v>
      </c>
      <c r="E69" s="118">
        <f t="shared" si="5"/>
        <v>2674.9999999999709</v>
      </c>
      <c r="F69" s="128">
        <f t="shared" si="6"/>
        <v>-212174.99999999997</v>
      </c>
      <c r="G69" s="118">
        <f t="shared" si="4"/>
        <v>0</v>
      </c>
    </row>
    <row r="70" spans="2:9" x14ac:dyDescent="0.3">
      <c r="B70" s="119"/>
      <c r="C70" s="125"/>
      <c r="D70" s="125"/>
      <c r="E70" s="120"/>
      <c r="F70" s="125"/>
      <c r="G70" s="125"/>
      <c r="H70" s="125"/>
      <c r="I70" s="125"/>
    </row>
    <row r="71" spans="2:9" x14ac:dyDescent="0.3">
      <c r="B71" s="127" t="s">
        <v>349</v>
      </c>
      <c r="C71" s="128">
        <f>SUM(C64:C69)</f>
        <v>-7625710.9100000001</v>
      </c>
      <c r="D71" s="128">
        <f>SUM(D64:D69)</f>
        <v>-7716500</v>
      </c>
      <c r="E71" s="118">
        <f t="shared" si="5"/>
        <v>-90789.089999999851</v>
      </c>
      <c r="F71" s="128">
        <f>SUM(F64:F69)</f>
        <v>-7625710.9100000001</v>
      </c>
      <c r="G71" s="118">
        <f t="shared" si="4"/>
        <v>0</v>
      </c>
    </row>
    <row r="72" spans="2:9" x14ac:dyDescent="0.3">
      <c r="B72" s="119"/>
      <c r="C72" s="125"/>
      <c r="D72" s="125"/>
      <c r="E72" s="120"/>
      <c r="F72" s="125"/>
      <c r="G72" s="125"/>
      <c r="H72" s="125"/>
      <c r="I72" s="125"/>
    </row>
    <row r="73" spans="2:9" x14ac:dyDescent="0.3">
      <c r="B73" t="s">
        <v>350</v>
      </c>
      <c r="C73" s="128">
        <f>-FixedCostsBudget!C18</f>
        <v>-563750</v>
      </c>
      <c r="D73" s="128">
        <f>'CE Budget 2022'!F29</f>
        <v>-556000</v>
      </c>
      <c r="E73" s="118">
        <f t="shared" si="5"/>
        <v>7750</v>
      </c>
      <c r="F73" s="128">
        <f>C73</f>
        <v>-563750</v>
      </c>
      <c r="G73" s="118">
        <f t="shared" si="4"/>
        <v>0</v>
      </c>
    </row>
    <row r="74" spans="2:9" x14ac:dyDescent="0.3">
      <c r="B74" t="s">
        <v>244</v>
      </c>
      <c r="C74" s="128">
        <f>-FixedCostsBudget!C20</f>
        <v>-307500</v>
      </c>
      <c r="D74" s="128">
        <f>'CE Budget 2022'!F30</f>
        <v>-297000</v>
      </c>
      <c r="E74" s="118">
        <f t="shared" si="5"/>
        <v>10500</v>
      </c>
      <c r="F74" s="128">
        <f t="shared" ref="F74:F75" si="7">C74</f>
        <v>-307500</v>
      </c>
      <c r="G74" s="118">
        <f t="shared" si="4"/>
        <v>0</v>
      </c>
    </row>
    <row r="75" spans="2:9" x14ac:dyDescent="0.3">
      <c r="B75" t="s">
        <v>245</v>
      </c>
      <c r="C75" s="128">
        <f>-FixedCostsBudget!C22</f>
        <v>-102499.99999999999</v>
      </c>
      <c r="D75" s="128">
        <f>'CE Budget 2022'!F31</f>
        <v>-98000</v>
      </c>
      <c r="E75" s="118">
        <f t="shared" si="5"/>
        <v>4499.9999999999854</v>
      </c>
      <c r="F75" s="128">
        <f t="shared" si="7"/>
        <v>-102499.99999999999</v>
      </c>
      <c r="G75" s="118">
        <f t="shared" si="4"/>
        <v>0</v>
      </c>
    </row>
    <row r="76" spans="2:9" x14ac:dyDescent="0.3">
      <c r="B76" s="119"/>
      <c r="C76" s="125"/>
      <c r="D76" s="125"/>
      <c r="E76" s="120"/>
      <c r="F76" s="125"/>
      <c r="G76" s="125"/>
      <c r="H76" s="125"/>
      <c r="I76" s="125"/>
    </row>
    <row r="77" spans="2:9" x14ac:dyDescent="0.3">
      <c r="B77" s="127" t="s">
        <v>351</v>
      </c>
      <c r="C77" s="128">
        <f>SUM(C73:C75)</f>
        <v>-973750</v>
      </c>
      <c r="D77" s="128">
        <f>SUM(D73:D75)</f>
        <v>-951000</v>
      </c>
      <c r="E77" s="118">
        <f t="shared" si="5"/>
        <v>22750</v>
      </c>
      <c r="F77" s="128">
        <f>SUM(F73:F75)</f>
        <v>-973750</v>
      </c>
      <c r="G77" s="118">
        <f t="shared" si="4"/>
        <v>0</v>
      </c>
    </row>
    <row r="78" spans="2:9" x14ac:dyDescent="0.3">
      <c r="B78" s="129" t="s">
        <v>352</v>
      </c>
      <c r="C78" s="128">
        <f>+C63+C71+C77</f>
        <v>3093546.895312719</v>
      </c>
      <c r="D78" s="128">
        <f>SUM(D45,D50,D56,D61,D71,D77)</f>
        <v>2264503.0378154144</v>
      </c>
      <c r="E78" s="118">
        <f t="shared" si="5"/>
        <v>-829043.85749730468</v>
      </c>
      <c r="F78" s="128">
        <f>SUM(F63,F71,F77)</f>
        <v>5271182.0802419335</v>
      </c>
      <c r="G78" s="118">
        <f t="shared" si="4"/>
        <v>2177635.1849292144</v>
      </c>
    </row>
    <row r="79" spans="2:9" x14ac:dyDescent="0.3">
      <c r="B79" s="129"/>
      <c r="C79" s="128"/>
      <c r="D79" s="128"/>
      <c r="E79" s="118"/>
      <c r="F79" s="128"/>
      <c r="G79" s="118">
        <f t="shared" si="4"/>
        <v>0</v>
      </c>
    </row>
    <row r="80" spans="2:9" x14ac:dyDescent="0.3">
      <c r="B80" t="s">
        <v>94</v>
      </c>
      <c r="C80" s="128">
        <f>-OthersBudget!C3</f>
        <v>-200000</v>
      </c>
      <c r="D80" s="128">
        <f>'CE Budget 2022'!F34</f>
        <v>-190000</v>
      </c>
      <c r="E80" s="118">
        <f t="shared" si="5"/>
        <v>10000</v>
      </c>
      <c r="F80" s="128">
        <f>C80</f>
        <v>-200000</v>
      </c>
      <c r="G80" s="118">
        <f t="shared" si="4"/>
        <v>0</v>
      </c>
    </row>
    <row r="81" spans="2:9" x14ac:dyDescent="0.3">
      <c r="B81" t="s">
        <v>95</v>
      </c>
      <c r="C81" s="128">
        <f>-OthersBudget!C5</f>
        <v>-796875</v>
      </c>
      <c r="D81" s="128">
        <f>'CE Budget 2022'!F35</f>
        <v>-810000</v>
      </c>
      <c r="E81" s="118">
        <f t="shared" si="5"/>
        <v>-13125</v>
      </c>
      <c r="F81" s="128">
        <f t="shared" ref="F81:F84" si="8">C81</f>
        <v>-796875</v>
      </c>
      <c r="G81" s="118">
        <f t="shared" si="4"/>
        <v>0</v>
      </c>
    </row>
    <row r="82" spans="2:9" x14ac:dyDescent="0.3">
      <c r="B82" t="s">
        <v>96</v>
      </c>
      <c r="C82" s="128">
        <f>-OthersBudget!C7</f>
        <v>0</v>
      </c>
      <c r="D82" s="128">
        <f>'CE Budget 2022'!F36</f>
        <v>-25000</v>
      </c>
      <c r="E82" s="118">
        <f t="shared" si="5"/>
        <v>-25000</v>
      </c>
      <c r="F82" s="128">
        <f t="shared" si="8"/>
        <v>0</v>
      </c>
      <c r="G82" s="118">
        <f t="shared" si="4"/>
        <v>0</v>
      </c>
    </row>
    <row r="83" spans="2:9" x14ac:dyDescent="0.3">
      <c r="B83" s="119"/>
      <c r="C83" s="125"/>
      <c r="D83" s="125"/>
      <c r="E83" s="120"/>
      <c r="F83" s="125"/>
      <c r="G83" s="120"/>
      <c r="H83" s="125"/>
      <c r="I83" s="125"/>
    </row>
    <row r="84" spans="2:9" x14ac:dyDescent="0.3">
      <c r="B84" s="127" t="s">
        <v>97</v>
      </c>
      <c r="C84" s="128">
        <f>SUM(C80:C82)</f>
        <v>-996875</v>
      </c>
      <c r="D84" s="128">
        <f>'CE Budget 2022'!F37</f>
        <v>-1025000</v>
      </c>
      <c r="E84" s="118">
        <f t="shared" si="5"/>
        <v>-28125</v>
      </c>
      <c r="F84" s="128">
        <f t="shared" si="8"/>
        <v>-996875</v>
      </c>
      <c r="G84" s="118">
        <f t="shared" si="4"/>
        <v>0</v>
      </c>
    </row>
    <row r="85" spans="2:9" x14ac:dyDescent="0.3">
      <c r="B85" s="130" t="s">
        <v>98</v>
      </c>
      <c r="C85" s="128">
        <f>+C78+C84</f>
        <v>2096671.895312719</v>
      </c>
      <c r="D85" s="128">
        <f>'CE Budget 2022'!F38</f>
        <v>1359503.0378154144</v>
      </c>
      <c r="E85" s="118">
        <f t="shared" si="5"/>
        <v>-737168.85749730468</v>
      </c>
      <c r="F85" s="128">
        <f>SUM(F78,F84)</f>
        <v>4274307.0802419335</v>
      </c>
      <c r="G85" s="118">
        <f t="shared" si="4"/>
        <v>2177635.1849292144</v>
      </c>
    </row>
    <row r="86" spans="2:9" x14ac:dyDescent="0.3">
      <c r="B86" s="130"/>
      <c r="C86" s="128"/>
      <c r="D86" s="128"/>
      <c r="E86" s="118"/>
      <c r="F86" s="128"/>
      <c r="G86" s="118">
        <f t="shared" si="4"/>
        <v>0</v>
      </c>
    </row>
    <row r="87" spans="2:9" x14ac:dyDescent="0.3">
      <c r="B87" t="s">
        <v>99</v>
      </c>
      <c r="C87" s="128">
        <f>-OthersBudget!C9</f>
        <v>-87500</v>
      </c>
      <c r="D87" s="128">
        <f>'CE Budget 2022'!F39</f>
        <v>-140133.03999999998</v>
      </c>
      <c r="E87" s="118">
        <f t="shared" si="5"/>
        <v>-52633.039999999979</v>
      </c>
      <c r="F87" s="128">
        <f>C87</f>
        <v>-87500</v>
      </c>
      <c r="G87" s="118">
        <f t="shared" si="4"/>
        <v>0</v>
      </c>
    </row>
    <row r="88" spans="2:9" x14ac:dyDescent="0.3">
      <c r="B88" t="s">
        <v>100</v>
      </c>
      <c r="C88" s="128">
        <f>OthersBudget!C11</f>
        <v>0</v>
      </c>
      <c r="D88" s="128">
        <f>'CE Budget 2022'!F40</f>
        <v>3543.6200000000003</v>
      </c>
      <c r="E88" s="118">
        <f t="shared" si="5"/>
        <v>3543.6200000000003</v>
      </c>
      <c r="F88" s="128">
        <f>C88</f>
        <v>0</v>
      </c>
      <c r="G88" s="118">
        <f t="shared" si="4"/>
        <v>0</v>
      </c>
    </row>
    <row r="89" spans="2:9" x14ac:dyDescent="0.3">
      <c r="B89" s="119"/>
      <c r="C89" s="125"/>
      <c r="D89" s="125"/>
      <c r="E89" s="120"/>
      <c r="F89" s="125"/>
      <c r="G89" s="125"/>
      <c r="H89" s="125"/>
      <c r="I89" s="125"/>
    </row>
    <row r="90" spans="2:9" x14ac:dyDescent="0.3">
      <c r="B90" s="127" t="s">
        <v>101</v>
      </c>
      <c r="C90" s="128">
        <f>SUM(C87:C88)</f>
        <v>-87500</v>
      </c>
      <c r="D90" s="128">
        <f>'CE Budget 2022'!F41</f>
        <v>-136589.41999999998</v>
      </c>
      <c r="E90" s="118">
        <f t="shared" si="5"/>
        <v>-49089.419999999984</v>
      </c>
      <c r="F90" s="128">
        <f>F87+F88</f>
        <v>-87500</v>
      </c>
      <c r="G90" s="118">
        <f t="shared" si="4"/>
        <v>0</v>
      </c>
    </row>
    <row r="91" spans="2:9" x14ac:dyDescent="0.3">
      <c r="B91" s="130" t="s">
        <v>102</v>
      </c>
      <c r="C91" s="128">
        <f>+C85+C90</f>
        <v>2009171.895312719</v>
      </c>
      <c r="D91" s="128">
        <f>'CE Budget 2022'!F42</f>
        <v>1222913.6178154144</v>
      </c>
      <c r="E91" s="118">
        <f t="shared" si="5"/>
        <v>-786258.2774973046</v>
      </c>
      <c r="F91" s="156">
        <f>F85+F90</f>
        <v>4186807.0802419335</v>
      </c>
      <c r="G91" s="118">
        <f t="shared" si="4"/>
        <v>2177635.1849292144</v>
      </c>
    </row>
    <row r="92" spans="2:9" x14ac:dyDescent="0.3">
      <c r="B92" t="s">
        <v>103</v>
      </c>
      <c r="C92" s="128">
        <f>-OthersBudget!C13</f>
        <v>0</v>
      </c>
      <c r="D92" s="128">
        <f>'CE Budget 2022'!F43</f>
        <v>-130503.97</v>
      </c>
      <c r="E92" s="118">
        <f t="shared" si="5"/>
        <v>-130503.97</v>
      </c>
      <c r="F92" s="128">
        <f>C92</f>
        <v>0</v>
      </c>
      <c r="G92" s="118">
        <f t="shared" si="4"/>
        <v>0</v>
      </c>
    </row>
    <row r="93" spans="2:9" x14ac:dyDescent="0.3">
      <c r="B93" t="s">
        <v>104</v>
      </c>
      <c r="C93" s="128">
        <f>OthersBudget!C15</f>
        <v>0</v>
      </c>
      <c r="D93" s="128">
        <f>'CE Budget 2022'!F44</f>
        <v>0</v>
      </c>
      <c r="E93" s="118">
        <f t="shared" si="5"/>
        <v>0</v>
      </c>
      <c r="F93" s="128">
        <f t="shared" ref="F93:F94" si="9">C93</f>
        <v>0</v>
      </c>
      <c r="G93" s="118">
        <f t="shared" si="4"/>
        <v>0</v>
      </c>
    </row>
    <row r="94" spans="2:9" x14ac:dyDescent="0.3">
      <c r="B94" t="s">
        <v>105</v>
      </c>
      <c r="C94" s="128">
        <f>OthersBudget!C17</f>
        <v>0</v>
      </c>
      <c r="D94" s="128">
        <f>'CE Budget 2022'!F45</f>
        <v>0</v>
      </c>
      <c r="E94" s="118">
        <f t="shared" si="5"/>
        <v>0</v>
      </c>
      <c r="F94" s="128">
        <f t="shared" si="9"/>
        <v>0</v>
      </c>
      <c r="G94" s="118">
        <f t="shared" si="4"/>
        <v>0</v>
      </c>
    </row>
    <row r="95" spans="2:9" x14ac:dyDescent="0.3">
      <c r="B95" s="119"/>
      <c r="C95" s="125"/>
      <c r="D95" s="125"/>
      <c r="E95" s="120"/>
      <c r="F95" s="125"/>
      <c r="G95" s="125"/>
      <c r="H95" s="125"/>
      <c r="I95" s="125"/>
    </row>
    <row r="96" spans="2:9" x14ac:dyDescent="0.3">
      <c r="B96" s="127" t="s">
        <v>106</v>
      </c>
      <c r="C96" s="128">
        <f>SUM(C92:C94)</f>
        <v>0</v>
      </c>
      <c r="D96" s="128">
        <f>'CE Budget 2022'!F46</f>
        <v>-130503.97</v>
      </c>
      <c r="E96" s="118">
        <f t="shared" si="5"/>
        <v>-130503.97</v>
      </c>
      <c r="F96" s="128">
        <f>SUM(F92:F94)</f>
        <v>0</v>
      </c>
      <c r="G96" s="118">
        <f t="shared" si="4"/>
        <v>0</v>
      </c>
    </row>
    <row r="97" spans="2:9" x14ac:dyDescent="0.3">
      <c r="B97" s="130" t="s">
        <v>107</v>
      </c>
      <c r="C97" s="128">
        <f>+C96+C91</f>
        <v>2009171.895312719</v>
      </c>
      <c r="D97" s="128">
        <f>'CE Budget 2022'!F47</f>
        <v>1092409.6478154145</v>
      </c>
      <c r="E97" s="118">
        <f t="shared" si="5"/>
        <v>-916762.24749730458</v>
      </c>
      <c r="F97" s="128">
        <f>F91+F96</f>
        <v>4186807.0802419335</v>
      </c>
      <c r="G97" s="118">
        <f t="shared" ref="G97:G99" si="10">F97-C97</f>
        <v>2177635.1849292144</v>
      </c>
    </row>
    <row r="98" spans="2:9" x14ac:dyDescent="0.3">
      <c r="B98" s="130"/>
      <c r="C98" s="128"/>
      <c r="D98" s="128"/>
      <c r="E98" s="118"/>
      <c r="F98" s="128"/>
      <c r="G98" s="118">
        <f t="shared" si="10"/>
        <v>0</v>
      </c>
    </row>
    <row r="99" spans="2:9" x14ac:dyDescent="0.3">
      <c r="B99" t="s">
        <v>108</v>
      </c>
      <c r="C99" s="128">
        <f>-OthersBudget!C19</f>
        <v>-602751.56859381567</v>
      </c>
      <c r="D99" s="128">
        <f>'CE Budget 2022'!F48</f>
        <v>-327722.8943446154</v>
      </c>
      <c r="E99" s="118">
        <f t="shared" si="5"/>
        <v>275028.67424920027</v>
      </c>
      <c r="F99" s="128">
        <f>-F97*0.3</f>
        <v>-1256042.1240725799</v>
      </c>
      <c r="G99" s="118">
        <f t="shared" si="10"/>
        <v>-653290.55547876423</v>
      </c>
    </row>
    <row r="100" spans="2:9" x14ac:dyDescent="0.3">
      <c r="B100" s="119"/>
      <c r="C100" s="125"/>
      <c r="D100" s="125"/>
      <c r="E100" s="120"/>
      <c r="F100" s="125"/>
      <c r="G100" s="125"/>
      <c r="H100" s="125"/>
      <c r="I100" s="125"/>
    </row>
    <row r="101" spans="2:9" x14ac:dyDescent="0.3">
      <c r="B101" s="130" t="s">
        <v>109</v>
      </c>
      <c r="C101" s="128">
        <f>C97+C99</f>
        <v>1406420.3267189034</v>
      </c>
      <c r="D101" s="128">
        <f>'CE Budget 2022'!F49</f>
        <v>764686.75347079907</v>
      </c>
      <c r="E101" s="118">
        <f t="shared" si="5"/>
        <v>-641733.57324810431</v>
      </c>
      <c r="F101" s="128">
        <f>F97+F99</f>
        <v>2930764.9561693538</v>
      </c>
      <c r="G101" s="118">
        <f t="shared" ref="G101" si="11">F101-C101</f>
        <v>1524344.6294504504</v>
      </c>
    </row>
    <row r="102" spans="2:9" x14ac:dyDescent="0.3">
      <c r="C102" s="128"/>
      <c r="D102" s="128"/>
      <c r="E102" s="128"/>
      <c r="F102" s="128"/>
      <c r="G102" s="128"/>
    </row>
    <row r="103" spans="2:9" x14ac:dyDescent="0.3">
      <c r="C103" s="128"/>
      <c r="D103" s="128"/>
      <c r="E103" s="128"/>
      <c r="F103" s="128"/>
      <c r="G103" s="128"/>
    </row>
    <row r="104" spans="2:9" x14ac:dyDescent="0.3">
      <c r="C104" s="128"/>
      <c r="D104" s="128"/>
      <c r="E104" s="128"/>
      <c r="F104" s="128"/>
      <c r="G104" s="128"/>
    </row>
    <row r="105" spans="2:9" x14ac:dyDescent="0.3">
      <c r="C105" s="128"/>
      <c r="D105" s="128"/>
      <c r="E105" s="128"/>
      <c r="F105" s="128"/>
      <c r="G105" s="128"/>
    </row>
    <row r="106" spans="2:9" x14ac:dyDescent="0.3">
      <c r="C106" s="128"/>
      <c r="D106" s="128"/>
      <c r="E106" s="128"/>
      <c r="F106" s="128"/>
      <c r="G106" s="128"/>
    </row>
    <row r="107" spans="2:9" x14ac:dyDescent="0.3">
      <c r="C107" s="128"/>
      <c r="D107" s="128"/>
      <c r="E107" s="128"/>
      <c r="F107" s="128"/>
      <c r="G107" s="128"/>
    </row>
    <row r="108" spans="2:9" x14ac:dyDescent="0.3">
      <c r="C108" s="128"/>
      <c r="D108" s="128"/>
      <c r="E108" s="128"/>
      <c r="F108" s="128"/>
      <c r="G108" s="128"/>
    </row>
    <row r="109" spans="2:9" x14ac:dyDescent="0.3">
      <c r="C109" s="128"/>
      <c r="D109" s="128"/>
      <c r="E109" s="128"/>
      <c r="F109" s="128"/>
      <c r="G109" s="128"/>
    </row>
    <row r="110" spans="2:9" x14ac:dyDescent="0.3">
      <c r="C110" s="128"/>
      <c r="D110" s="128"/>
      <c r="E110" s="128"/>
      <c r="F110" s="128"/>
      <c r="G110" s="128"/>
    </row>
    <row r="111" spans="2:9" x14ac:dyDescent="0.3">
      <c r="C111" s="128"/>
      <c r="D111" s="128"/>
      <c r="E111" s="128"/>
      <c r="F111" s="128"/>
      <c r="G111" s="128"/>
    </row>
    <row r="112" spans="2:9" x14ac:dyDescent="0.3">
      <c r="C112" s="128"/>
      <c r="D112" s="128"/>
      <c r="E112" s="128"/>
      <c r="F112" s="128"/>
      <c r="G112" s="128"/>
    </row>
    <row r="113" spans="3:7" x14ac:dyDescent="0.3">
      <c r="C113" s="128"/>
      <c r="D113" s="128"/>
      <c r="E113" s="128"/>
      <c r="F113" s="128"/>
      <c r="G113" s="128"/>
    </row>
    <row r="114" spans="3:7" x14ac:dyDescent="0.3">
      <c r="C114" s="128"/>
      <c r="D114" s="128"/>
      <c r="E114" s="128"/>
      <c r="F114" s="128"/>
      <c r="G114" s="128"/>
    </row>
    <row r="115" spans="3:7" x14ac:dyDescent="0.3">
      <c r="C115" s="128"/>
      <c r="D115" s="128"/>
      <c r="E115" s="128"/>
      <c r="F115" s="128"/>
      <c r="G115" s="128"/>
    </row>
    <row r="116" spans="3:7" x14ac:dyDescent="0.3">
      <c r="C116" s="128"/>
      <c r="D116" s="128"/>
      <c r="E116" s="128"/>
      <c r="F116" s="128"/>
      <c r="G116" s="128"/>
    </row>
    <row r="117" spans="3:7" x14ac:dyDescent="0.3">
      <c r="C117" s="128"/>
      <c r="D117" s="128"/>
      <c r="E117" s="128"/>
      <c r="F117" s="128"/>
      <c r="G117" s="128"/>
    </row>
    <row r="118" spans="3:7" x14ac:dyDescent="0.3">
      <c r="C118" s="128"/>
      <c r="D118" s="128"/>
      <c r="E118" s="128"/>
      <c r="F118" s="128"/>
      <c r="G118" s="128"/>
    </row>
    <row r="119" spans="3:7" x14ac:dyDescent="0.3">
      <c r="C119" s="128"/>
      <c r="D119" s="128"/>
      <c r="E119" s="128"/>
      <c r="F119" s="128"/>
      <c r="G119" s="128"/>
    </row>
    <row r="120" spans="3:7" x14ac:dyDescent="0.3">
      <c r="C120" s="128"/>
      <c r="D120" s="128"/>
      <c r="E120" s="128"/>
      <c r="F120" s="128"/>
      <c r="G120" s="128"/>
    </row>
    <row r="121" spans="3:7" x14ac:dyDescent="0.3">
      <c r="C121" s="128"/>
      <c r="D121" s="128"/>
      <c r="E121" s="128"/>
      <c r="F121" s="128"/>
      <c r="G121" s="128"/>
    </row>
    <row r="122" spans="3:7" x14ac:dyDescent="0.3">
      <c r="C122" s="128"/>
      <c r="D122" s="128"/>
      <c r="E122" s="128"/>
      <c r="F122" s="128"/>
      <c r="G122" s="128"/>
    </row>
    <row r="123" spans="3:7" x14ac:dyDescent="0.3">
      <c r="C123" s="128"/>
      <c r="D123" s="128"/>
      <c r="E123" s="128"/>
      <c r="F123" s="128"/>
      <c r="G123" s="128"/>
    </row>
    <row r="124" spans="3:7" x14ac:dyDescent="0.3">
      <c r="C124" s="128"/>
      <c r="D124" s="128"/>
      <c r="E124" s="128"/>
      <c r="F124" s="128"/>
      <c r="G124" s="128"/>
    </row>
    <row r="125" spans="3:7" x14ac:dyDescent="0.3">
      <c r="C125" s="128"/>
      <c r="D125" s="128"/>
      <c r="E125" s="128"/>
      <c r="F125" s="128"/>
      <c r="G125" s="128"/>
    </row>
    <row r="126" spans="3:7" x14ac:dyDescent="0.3">
      <c r="C126" s="128"/>
      <c r="D126" s="128"/>
      <c r="E126" s="128"/>
      <c r="F126" s="128"/>
      <c r="G126" s="128"/>
    </row>
    <row r="127" spans="3:7" x14ac:dyDescent="0.3">
      <c r="C127" s="128"/>
      <c r="D127" s="128"/>
      <c r="E127" s="128"/>
      <c r="F127" s="128"/>
      <c r="G127" s="128"/>
    </row>
    <row r="128" spans="3:7" x14ac:dyDescent="0.3">
      <c r="C128" s="128"/>
      <c r="D128" s="128"/>
      <c r="E128" s="128"/>
      <c r="F128" s="128"/>
      <c r="G128" s="128"/>
    </row>
    <row r="129" spans="3:7" x14ac:dyDescent="0.3">
      <c r="C129" s="128"/>
      <c r="D129" s="128"/>
      <c r="E129" s="128"/>
      <c r="F129" s="128"/>
      <c r="G129" s="128"/>
    </row>
    <row r="130" spans="3:7" x14ac:dyDescent="0.3">
      <c r="C130" s="128"/>
      <c r="D130" s="128"/>
      <c r="E130" s="128"/>
      <c r="F130" s="128"/>
      <c r="G130" s="128"/>
    </row>
    <row r="131" spans="3:7" x14ac:dyDescent="0.3">
      <c r="C131" s="128"/>
      <c r="D131" s="128"/>
      <c r="E131" s="128"/>
      <c r="F131" s="128"/>
      <c r="G131" s="128"/>
    </row>
    <row r="132" spans="3:7" x14ac:dyDescent="0.3">
      <c r="C132" s="128"/>
      <c r="D132" s="128"/>
      <c r="E132" s="128"/>
      <c r="F132" s="128"/>
      <c r="G132" s="128"/>
    </row>
    <row r="133" spans="3:7" x14ac:dyDescent="0.3">
      <c r="C133" s="128"/>
      <c r="D133" s="128"/>
      <c r="E133" s="128"/>
      <c r="F133" s="128"/>
      <c r="G133" s="128"/>
    </row>
    <row r="134" spans="3:7" x14ac:dyDescent="0.3">
      <c r="C134" s="128"/>
      <c r="D134" s="128"/>
      <c r="E134" s="128"/>
      <c r="F134" s="128"/>
      <c r="G134" s="128"/>
    </row>
    <row r="135" spans="3:7" x14ac:dyDescent="0.3">
      <c r="C135" s="128"/>
      <c r="D135" s="128"/>
      <c r="E135" s="128"/>
      <c r="F135" s="128"/>
      <c r="G135" s="128"/>
    </row>
    <row r="136" spans="3:7" x14ac:dyDescent="0.3">
      <c r="C136" s="128"/>
      <c r="D136" s="128"/>
      <c r="E136" s="128"/>
      <c r="F136" s="128"/>
      <c r="G136" s="128"/>
    </row>
    <row r="137" spans="3:7" x14ac:dyDescent="0.3">
      <c r="C137" s="128"/>
      <c r="D137" s="128"/>
      <c r="E137" s="128"/>
      <c r="F137" s="128"/>
      <c r="G137" s="128"/>
    </row>
    <row r="138" spans="3:7" x14ac:dyDescent="0.3">
      <c r="C138" s="128"/>
      <c r="D138" s="128"/>
      <c r="E138" s="128"/>
      <c r="F138" s="128"/>
      <c r="G138" s="128"/>
    </row>
    <row r="139" spans="3:7" x14ac:dyDescent="0.3">
      <c r="C139" s="128"/>
      <c r="D139" s="128"/>
      <c r="E139" s="128"/>
      <c r="F139" s="128"/>
      <c r="G139" s="128"/>
    </row>
    <row r="140" spans="3:7" x14ac:dyDescent="0.3">
      <c r="C140" s="128"/>
      <c r="D140" s="128"/>
      <c r="E140" s="128"/>
      <c r="F140" s="128"/>
      <c r="G140" s="128"/>
    </row>
    <row r="141" spans="3:7" x14ac:dyDescent="0.3">
      <c r="C141" s="128"/>
      <c r="D141" s="128"/>
      <c r="E141" s="128"/>
      <c r="F141" s="128"/>
      <c r="G141" s="128"/>
    </row>
    <row r="142" spans="3:7" x14ac:dyDescent="0.3">
      <c r="C142" s="128"/>
      <c r="D142" s="128"/>
      <c r="E142" s="128"/>
      <c r="F142" s="128"/>
      <c r="G142" s="128"/>
    </row>
  </sheetData>
  <mergeCells count="4">
    <mergeCell ref="A21:A25"/>
    <mergeCell ref="A27:A31"/>
    <mergeCell ref="B2:D2"/>
    <mergeCell ref="B9:D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1:P54"/>
  <sheetViews>
    <sheetView topLeftCell="B4" zoomScale="81" zoomScaleNormal="60" workbookViewId="0">
      <selection activeCell="E17" sqref="E17"/>
    </sheetView>
  </sheetViews>
  <sheetFormatPr defaultRowHeight="14.4" x14ac:dyDescent="0.3"/>
  <cols>
    <col min="2" max="2" width="39.21875" bestFit="1" customWidth="1"/>
    <col min="3" max="3" width="12.77734375" bestFit="1" customWidth="1"/>
    <col min="4" max="4" width="11.109375" bestFit="1" customWidth="1"/>
    <col min="5" max="5" width="49.5546875" bestFit="1" customWidth="1"/>
    <col min="6" max="6" width="12.77734375" bestFit="1" customWidth="1"/>
    <col min="7" max="7" width="59.77734375" bestFit="1" customWidth="1"/>
    <col min="8" max="8" width="12.77734375" bestFit="1" customWidth="1"/>
  </cols>
  <sheetData>
    <row r="1" spans="2:16" ht="15" thickBot="1" x14ac:dyDescent="0.35"/>
    <row r="2" spans="2:16" ht="18" x14ac:dyDescent="0.3">
      <c r="B2" s="144" t="s">
        <v>139</v>
      </c>
      <c r="C2" s="145"/>
      <c r="D2" t="s">
        <v>303</v>
      </c>
      <c r="E2" s="144" t="s">
        <v>139</v>
      </c>
      <c r="F2" s="145"/>
    </row>
    <row r="3" spans="2:16" ht="14.55" customHeight="1" x14ac:dyDescent="0.3">
      <c r="B3" s="142" t="s">
        <v>290</v>
      </c>
      <c r="C3" s="42" t="s">
        <v>65</v>
      </c>
      <c r="E3" s="142" t="s">
        <v>169</v>
      </c>
      <c r="F3" s="42" t="s">
        <v>65</v>
      </c>
      <c r="P3" t="s">
        <v>292</v>
      </c>
    </row>
    <row r="4" spans="2:16" ht="14.55" customHeight="1" x14ac:dyDescent="0.3">
      <c r="B4" s="143"/>
      <c r="C4" s="43" t="s">
        <v>66</v>
      </c>
      <c r="E4" s="143"/>
      <c r="F4" s="43" t="s">
        <v>66</v>
      </c>
    </row>
    <row r="5" spans="2:16" ht="14.55" customHeight="1" x14ac:dyDescent="0.3">
      <c r="B5" s="44" t="s">
        <v>67</v>
      </c>
      <c r="C5" s="101">
        <f>(SUMIF(RicaviBudget!$H:$H,"P",RicaviBudget!$G:$G)+SUMIF(RicaviBudget!$H:$H,"V",RicaviBudget!$G:$G)+SUMIF(RicaviBudget!$H:$H,"A",RicaviBudget!$G:$G))</f>
        <v>68358549.01852648</v>
      </c>
      <c r="D5" s="108">
        <f>C5-F5</f>
        <v>7063889.9957264811</v>
      </c>
      <c r="E5" s="44" t="s">
        <v>67</v>
      </c>
      <c r="F5" s="101">
        <v>61294659.022799999</v>
      </c>
    </row>
    <row r="6" spans="2:16" x14ac:dyDescent="0.3">
      <c r="B6" s="46" t="s">
        <v>288</v>
      </c>
      <c r="C6" s="45">
        <f>SUMIF(RicaviBudget!$H:$H,"MP",RicaviBudget!$G:$G)</f>
        <v>196584.24189999999</v>
      </c>
      <c r="D6" s="108">
        <f t="shared" ref="D6:D49" si="0">C6-F6</f>
        <v>-331642.38355000003</v>
      </c>
      <c r="E6" s="46" t="s">
        <v>288</v>
      </c>
      <c r="F6" s="45">
        <v>528226.62545000005</v>
      </c>
    </row>
    <row r="7" spans="2:16" x14ac:dyDescent="0.3">
      <c r="B7" s="44" t="s">
        <v>289</v>
      </c>
      <c r="C7" s="45">
        <f>SUMIF(RicaviBudget!$H:$H,"PCL",RicaviBudget!$G:$G)</f>
        <v>2489618.9618799998</v>
      </c>
      <c r="D7" s="108">
        <f t="shared" si="0"/>
        <v>612028.60988000012</v>
      </c>
      <c r="E7" s="44" t="s">
        <v>289</v>
      </c>
      <c r="F7" s="45">
        <v>1877590.3519999997</v>
      </c>
    </row>
    <row r="8" spans="2:16" x14ac:dyDescent="0.3">
      <c r="B8" s="44" t="s">
        <v>68</v>
      </c>
      <c r="C8" s="109">
        <f>RicaviBudget!G64+RicaviBudget!G65</f>
        <v>-202771.84999999998</v>
      </c>
      <c r="D8" s="108">
        <f t="shared" si="0"/>
        <v>-322771.84999999998</v>
      </c>
      <c r="E8" s="44" t="s">
        <v>68</v>
      </c>
      <c r="F8" s="89">
        <v>120000</v>
      </c>
    </row>
    <row r="9" spans="2:16" x14ac:dyDescent="0.3">
      <c r="B9" s="44" t="s">
        <v>69</v>
      </c>
      <c r="C9" s="89">
        <v>0</v>
      </c>
      <c r="D9" s="108">
        <f t="shared" si="0"/>
        <v>-500000</v>
      </c>
      <c r="E9" s="44" t="s">
        <v>69</v>
      </c>
      <c r="F9" s="89">
        <v>500000</v>
      </c>
    </row>
    <row r="10" spans="2:16" x14ac:dyDescent="0.3">
      <c r="B10" s="47" t="s">
        <v>70</v>
      </c>
      <c r="C10" s="48">
        <f>+SUM(C5:C9)</f>
        <v>70841980.372306481</v>
      </c>
      <c r="D10" s="108">
        <f t="shared" si="0"/>
        <v>6521504.3720564842</v>
      </c>
      <c r="E10" s="47" t="s">
        <v>70</v>
      </c>
      <c r="F10" s="48">
        <v>64320476.000249997</v>
      </c>
      <c r="P10" s="102" t="s">
        <v>291</v>
      </c>
    </row>
    <row r="11" spans="2:16" x14ac:dyDescent="0.3">
      <c r="B11" s="44" t="s">
        <v>71</v>
      </c>
      <c r="C11" s="45" cm="1">
        <f t="array" ref="C11">-SUM(RicaviBudget!D3:D63 * RicaviBudget!F3:F63)</f>
        <v>-52760560.896493942</v>
      </c>
      <c r="D11" s="108">
        <f t="shared" si="0"/>
        <v>-3389755.3792289346</v>
      </c>
      <c r="E11" s="44" t="s">
        <v>71</v>
      </c>
      <c r="F11" s="45">
        <v>-49370805.517265007</v>
      </c>
    </row>
    <row r="12" spans="2:16" x14ac:dyDescent="0.3">
      <c r="B12" s="44" t="s">
        <v>72</v>
      </c>
      <c r="C12" s="90">
        <v>0</v>
      </c>
      <c r="D12" s="108">
        <f t="shared" si="0"/>
        <v>-2500000</v>
      </c>
      <c r="E12" s="44" t="s">
        <v>72</v>
      </c>
      <c r="F12" s="90">
        <v>2500000</v>
      </c>
    </row>
    <row r="13" spans="2:16" x14ac:dyDescent="0.3">
      <c r="B13" s="47" t="s">
        <v>73</v>
      </c>
      <c r="C13" s="48">
        <f>+C11+C12</f>
        <v>-52760560.896493942</v>
      </c>
      <c r="D13" s="108">
        <f t="shared" si="0"/>
        <v>-5889755.3792289346</v>
      </c>
      <c r="E13" s="47" t="s">
        <v>73</v>
      </c>
      <c r="F13" s="48">
        <v>-46870805.517265007</v>
      </c>
    </row>
    <row r="14" spans="2:16" x14ac:dyDescent="0.3">
      <c r="B14" s="44" t="s">
        <v>74</v>
      </c>
      <c r="C14" s="45">
        <f>-VariableCostsBudget!G9-VariableCostsBudget!G10-VariableCostsBudget!G15</f>
        <v>-3445836.3538936325</v>
      </c>
      <c r="D14" s="108">
        <f t="shared" si="0"/>
        <v>706871.14175914275</v>
      </c>
      <c r="E14" s="44" t="s">
        <v>74</v>
      </c>
      <c r="F14" s="45">
        <v>-4152707.4956527753</v>
      </c>
    </row>
    <row r="15" spans="2:16" x14ac:dyDescent="0.3">
      <c r="B15" s="44" t="s">
        <v>75</v>
      </c>
      <c r="C15" s="111">
        <f>-VariableCostsBudget!G11</f>
        <v>-153750</v>
      </c>
      <c r="D15" s="108">
        <f t="shared" si="0"/>
        <v>21250</v>
      </c>
      <c r="E15" s="44" t="s">
        <v>75</v>
      </c>
      <c r="F15" s="45">
        <v>-175000</v>
      </c>
    </row>
    <row r="16" spans="2:16" x14ac:dyDescent="0.3">
      <c r="B16" s="44" t="s">
        <v>76</v>
      </c>
      <c r="C16" s="45">
        <f>-VariableCostsBudget!G12</f>
        <v>-449211.74630400003</v>
      </c>
      <c r="D16" s="108">
        <f t="shared" si="0"/>
        <v>70748.20321279997</v>
      </c>
      <c r="E16" s="44" t="s">
        <v>76</v>
      </c>
      <c r="F16" s="45">
        <v>-519959.9495168</v>
      </c>
    </row>
    <row r="17" spans="2:7" x14ac:dyDescent="0.3">
      <c r="B17" s="47" t="s">
        <v>77</v>
      </c>
      <c r="C17" s="48">
        <f>SUM(C14:C16)</f>
        <v>-4048798.1001976328</v>
      </c>
      <c r="D17" s="108">
        <f t="shared" si="0"/>
        <v>798869.34497194272</v>
      </c>
      <c r="E17" s="47" t="s">
        <v>77</v>
      </c>
      <c r="F17" s="48">
        <v>-4847667.4451695755</v>
      </c>
    </row>
    <row r="18" spans="2:7" x14ac:dyDescent="0.3">
      <c r="B18" s="44" t="s">
        <v>78</v>
      </c>
      <c r="C18" s="45">
        <f>-VariableCostsBudget!G13</f>
        <v>-1471815.2299680002</v>
      </c>
      <c r="D18" s="108">
        <f t="shared" si="0"/>
        <v>-471815.2299680002</v>
      </c>
      <c r="E18" s="44" t="s">
        <v>78</v>
      </c>
      <c r="F18" s="45">
        <v>-1000000</v>
      </c>
    </row>
    <row r="19" spans="2:7" x14ac:dyDescent="0.3">
      <c r="B19" s="44" t="s">
        <v>79</v>
      </c>
      <c r="C19" s="45">
        <f>-VariableCostsBudget!G14</f>
        <v>-867798.34033418808</v>
      </c>
      <c r="D19" s="108">
        <f t="shared" si="0"/>
        <v>-317798.34033418808</v>
      </c>
      <c r="E19" s="44" t="s">
        <v>79</v>
      </c>
      <c r="F19" s="45">
        <v>-550000</v>
      </c>
    </row>
    <row r="20" spans="2:7" ht="15" thickBot="1" x14ac:dyDescent="0.35">
      <c r="B20" s="47" t="s">
        <v>80</v>
      </c>
      <c r="C20" s="48">
        <f>SUM(C18:C19)</f>
        <v>-2339613.5703021884</v>
      </c>
      <c r="D20" s="108">
        <f t="shared" si="0"/>
        <v>-789613.5703021884</v>
      </c>
      <c r="E20" s="47" t="s">
        <v>80</v>
      </c>
      <c r="F20" s="48">
        <v>-1550000</v>
      </c>
    </row>
    <row r="21" spans="2:7" ht="15" thickBot="1" x14ac:dyDescent="0.35">
      <c r="B21" s="49" t="s">
        <v>81</v>
      </c>
      <c r="C21" s="50">
        <f>+C10+C13+C17+C20</f>
        <v>11693007.805312719</v>
      </c>
      <c r="D21" s="108">
        <f t="shared" si="0"/>
        <v>641004.76749730483</v>
      </c>
      <c r="E21" s="49" t="s">
        <v>81</v>
      </c>
      <c r="F21" s="50">
        <v>11052003.037815414</v>
      </c>
    </row>
    <row r="22" spans="2:7" x14ac:dyDescent="0.3">
      <c r="B22" s="44" t="s">
        <v>82</v>
      </c>
      <c r="C22" s="45">
        <f>-FixedCostsBudget!C3</f>
        <v>-5594785.9100000001</v>
      </c>
      <c r="D22" s="108">
        <f t="shared" si="0"/>
        <v>55214.089999999851</v>
      </c>
      <c r="E22" s="44" t="s">
        <v>82</v>
      </c>
      <c r="F22" s="45">
        <v>-5650000</v>
      </c>
    </row>
    <row r="23" spans="2:7" x14ac:dyDescent="0.3">
      <c r="B23" s="44" t="s">
        <v>83</v>
      </c>
      <c r="C23" s="45">
        <f>-FixedCostsBudget!C5</f>
        <v>-1050000</v>
      </c>
      <c r="D23" s="108">
        <f t="shared" si="0"/>
        <v>50000</v>
      </c>
      <c r="E23" s="44" t="s">
        <v>83</v>
      </c>
      <c r="F23" s="45">
        <v>-1100000</v>
      </c>
    </row>
    <row r="24" spans="2:7" x14ac:dyDescent="0.3">
      <c r="B24" s="44" t="s">
        <v>84</v>
      </c>
      <c r="C24" s="45">
        <f>-FixedCostsBudget!C7</f>
        <v>-307500</v>
      </c>
      <c r="D24" s="108">
        <f t="shared" si="0"/>
        <v>-2500</v>
      </c>
      <c r="E24" s="44" t="s">
        <v>84</v>
      </c>
      <c r="F24" s="45">
        <v>-305000</v>
      </c>
    </row>
    <row r="25" spans="2:7" x14ac:dyDescent="0.3">
      <c r="B25" s="44" t="s">
        <v>85</v>
      </c>
      <c r="C25" s="45">
        <f>-FixedCostsBudget!C9</f>
        <v>-151700</v>
      </c>
      <c r="D25" s="108">
        <f t="shared" si="0"/>
        <v>-6700</v>
      </c>
      <c r="E25" s="44" t="s">
        <v>85</v>
      </c>
      <c r="F25" s="45">
        <v>-145000</v>
      </c>
    </row>
    <row r="26" spans="2:7" x14ac:dyDescent="0.3">
      <c r="B26" s="44" t="s">
        <v>86</v>
      </c>
      <c r="C26" s="45">
        <f>-FixedCostsBudget!C11</f>
        <v>-309550</v>
      </c>
      <c r="D26" s="108">
        <f t="shared" si="0"/>
        <v>-2550</v>
      </c>
      <c r="E26" s="44" t="s">
        <v>86</v>
      </c>
      <c r="F26" s="45">
        <v>-307000</v>
      </c>
    </row>
    <row r="27" spans="2:7" x14ac:dyDescent="0.3">
      <c r="B27" s="44" t="s">
        <v>87</v>
      </c>
      <c r="C27" s="45">
        <f>-FixedCostsBudget!C13</f>
        <v>-212174.99999999997</v>
      </c>
      <c r="D27" s="108">
        <f t="shared" si="0"/>
        <v>-2674.9999999999709</v>
      </c>
      <c r="E27" s="44" t="s">
        <v>87</v>
      </c>
      <c r="F27" s="45">
        <v>-209500</v>
      </c>
    </row>
    <row r="28" spans="2:7" x14ac:dyDescent="0.3">
      <c r="B28" s="47" t="s">
        <v>88</v>
      </c>
      <c r="C28" s="48">
        <f>SUM(C22:C27)</f>
        <v>-7625710.9100000001</v>
      </c>
      <c r="D28" s="108">
        <f t="shared" si="0"/>
        <v>90789.089999999851</v>
      </c>
      <c r="E28" s="47" t="s">
        <v>88</v>
      </c>
      <c r="F28" s="103">
        <v>-7716500</v>
      </c>
    </row>
    <row r="29" spans="2:7" x14ac:dyDescent="0.3">
      <c r="B29" s="44" t="s">
        <v>89</v>
      </c>
      <c r="C29" s="45">
        <f>-FixedCostsBudget!C18</f>
        <v>-563750</v>
      </c>
      <c r="D29" s="108">
        <f t="shared" si="0"/>
        <v>-7750</v>
      </c>
      <c r="E29" s="44" t="s">
        <v>89</v>
      </c>
      <c r="F29" s="45">
        <v>-556000</v>
      </c>
      <c r="G29" s="102"/>
    </row>
    <row r="30" spans="2:7" x14ac:dyDescent="0.3">
      <c r="B30" s="44" t="s">
        <v>90</v>
      </c>
      <c r="C30" s="45">
        <f>-FixedCostsBudget!C20</f>
        <v>-307500</v>
      </c>
      <c r="D30" s="108">
        <f t="shared" si="0"/>
        <v>-10500</v>
      </c>
      <c r="E30" s="44" t="s">
        <v>90</v>
      </c>
      <c r="F30" s="45">
        <v>-297000</v>
      </c>
    </row>
    <row r="31" spans="2:7" x14ac:dyDescent="0.3">
      <c r="B31" s="44" t="s">
        <v>91</v>
      </c>
      <c r="C31" s="45">
        <f>-FixedCostsBudget!C22</f>
        <v>-102499.99999999999</v>
      </c>
      <c r="D31" s="108">
        <f t="shared" si="0"/>
        <v>-4499.9999999999854</v>
      </c>
      <c r="E31" s="44" t="s">
        <v>91</v>
      </c>
      <c r="F31" s="45">
        <v>-98000</v>
      </c>
    </row>
    <row r="32" spans="2:7" ht="15" thickBot="1" x14ac:dyDescent="0.35">
      <c r="B32" s="47" t="s">
        <v>92</v>
      </c>
      <c r="C32" s="48">
        <f>SUM(C29:C31)</f>
        <v>-973750</v>
      </c>
      <c r="D32" s="108">
        <f t="shared" si="0"/>
        <v>-22750</v>
      </c>
      <c r="E32" s="47" t="s">
        <v>92</v>
      </c>
      <c r="F32" s="48">
        <v>-951000</v>
      </c>
    </row>
    <row r="33" spans="2:6" ht="15" thickBot="1" x14ac:dyDescent="0.35">
      <c r="B33" s="51" t="s">
        <v>93</v>
      </c>
      <c r="C33" s="52">
        <f>+C21+C28+C32</f>
        <v>3093546.895312719</v>
      </c>
      <c r="D33" s="108">
        <f t="shared" si="0"/>
        <v>709043.85749730468</v>
      </c>
      <c r="E33" s="51" t="s">
        <v>93</v>
      </c>
      <c r="F33" s="52">
        <v>2384503.0378154144</v>
      </c>
    </row>
    <row r="34" spans="2:6" x14ac:dyDescent="0.3">
      <c r="B34" s="46" t="s">
        <v>94</v>
      </c>
      <c r="C34" s="45">
        <f>-OthersBudget!C3</f>
        <v>-200000</v>
      </c>
      <c r="D34" s="108">
        <f t="shared" si="0"/>
        <v>-10000</v>
      </c>
      <c r="E34" s="46" t="s">
        <v>94</v>
      </c>
      <c r="F34" s="45">
        <v>-190000</v>
      </c>
    </row>
    <row r="35" spans="2:6" x14ac:dyDescent="0.3">
      <c r="B35" s="44" t="s">
        <v>95</v>
      </c>
      <c r="C35" s="45">
        <f>-OthersBudget!C5</f>
        <v>-796875</v>
      </c>
      <c r="D35" s="108">
        <f t="shared" si="0"/>
        <v>13125</v>
      </c>
      <c r="E35" s="44" t="s">
        <v>95</v>
      </c>
      <c r="F35" s="45">
        <v>-810000</v>
      </c>
    </row>
    <row r="36" spans="2:6" x14ac:dyDescent="0.3">
      <c r="B36" s="44" t="s">
        <v>96</v>
      </c>
      <c r="C36" s="45">
        <f>-OthersBudget!C7</f>
        <v>0</v>
      </c>
      <c r="D36" s="108">
        <f t="shared" si="0"/>
        <v>25000</v>
      </c>
      <c r="E36" s="44" t="s">
        <v>96</v>
      </c>
      <c r="F36" s="45">
        <v>-25000</v>
      </c>
    </row>
    <row r="37" spans="2:6" ht="15" thickBot="1" x14ac:dyDescent="0.35">
      <c r="B37" s="47" t="s">
        <v>97</v>
      </c>
      <c r="C37" s="48">
        <f>SUM(C34:C36)</f>
        <v>-996875</v>
      </c>
      <c r="D37" s="108">
        <f t="shared" si="0"/>
        <v>28125</v>
      </c>
      <c r="E37" s="47" t="s">
        <v>97</v>
      </c>
      <c r="F37" s="48">
        <v>-1025000</v>
      </c>
    </row>
    <row r="38" spans="2:6" ht="15" thickBot="1" x14ac:dyDescent="0.35">
      <c r="B38" s="49" t="s">
        <v>98</v>
      </c>
      <c r="C38" s="50">
        <f>+C33+C37</f>
        <v>2096671.895312719</v>
      </c>
      <c r="D38" s="108">
        <f t="shared" si="0"/>
        <v>737168.85749730468</v>
      </c>
      <c r="E38" s="49" t="s">
        <v>98</v>
      </c>
      <c r="F38" s="50">
        <v>1359503.0378154144</v>
      </c>
    </row>
    <row r="39" spans="2:6" x14ac:dyDescent="0.3">
      <c r="B39" s="44" t="s">
        <v>99</v>
      </c>
      <c r="C39" s="45">
        <f>-OthersBudget!C9</f>
        <v>-87500</v>
      </c>
      <c r="D39" s="108">
        <f t="shared" si="0"/>
        <v>52633.039999999979</v>
      </c>
      <c r="E39" s="44" t="s">
        <v>99</v>
      </c>
      <c r="F39" s="45">
        <v>-140133.03999999998</v>
      </c>
    </row>
    <row r="40" spans="2:6" x14ac:dyDescent="0.3">
      <c r="B40" s="44" t="s">
        <v>100</v>
      </c>
      <c r="C40" s="45">
        <f>OthersBudget!C11</f>
        <v>0</v>
      </c>
      <c r="D40" s="108">
        <f t="shared" si="0"/>
        <v>-3543.6200000000003</v>
      </c>
      <c r="E40" s="44" t="s">
        <v>100</v>
      </c>
      <c r="F40" s="45">
        <v>3543.6200000000003</v>
      </c>
    </row>
    <row r="41" spans="2:6" ht="15" thickBot="1" x14ac:dyDescent="0.35">
      <c r="B41" s="47" t="s">
        <v>101</v>
      </c>
      <c r="C41" s="48">
        <f>SUM(C39:C40)</f>
        <v>-87500</v>
      </c>
      <c r="D41" s="108">
        <f t="shared" si="0"/>
        <v>49089.419999999984</v>
      </c>
      <c r="E41" s="47" t="s">
        <v>101</v>
      </c>
      <c r="F41" s="48">
        <v>-136589.41999999998</v>
      </c>
    </row>
    <row r="42" spans="2:6" ht="15" thickBot="1" x14ac:dyDescent="0.35">
      <c r="B42" s="49" t="s">
        <v>102</v>
      </c>
      <c r="C42" s="50">
        <f>+C38+C41</f>
        <v>2009171.895312719</v>
      </c>
      <c r="D42" s="108">
        <f t="shared" si="0"/>
        <v>786258.2774973046</v>
      </c>
      <c r="E42" s="49" t="s">
        <v>102</v>
      </c>
      <c r="F42" s="50">
        <v>1222913.6178154144</v>
      </c>
    </row>
    <row r="43" spans="2:6" x14ac:dyDescent="0.3">
      <c r="B43" s="44" t="s">
        <v>103</v>
      </c>
      <c r="C43" s="45">
        <f>-OthersBudget!C13</f>
        <v>0</v>
      </c>
      <c r="D43" s="108">
        <f t="shared" si="0"/>
        <v>130503.97</v>
      </c>
      <c r="E43" s="44" t="s">
        <v>103</v>
      </c>
      <c r="F43" s="45">
        <v>-130503.97</v>
      </c>
    </row>
    <row r="44" spans="2:6" x14ac:dyDescent="0.3">
      <c r="B44" s="44" t="s">
        <v>104</v>
      </c>
      <c r="C44" s="45">
        <f>OthersBudget!C15</f>
        <v>0</v>
      </c>
      <c r="D44" s="108">
        <f t="shared" si="0"/>
        <v>0</v>
      </c>
      <c r="E44" s="44" t="s">
        <v>104</v>
      </c>
      <c r="F44" s="45">
        <v>0</v>
      </c>
    </row>
    <row r="45" spans="2:6" x14ac:dyDescent="0.3">
      <c r="B45" s="44" t="s">
        <v>105</v>
      </c>
      <c r="C45" s="45">
        <f>OthersBudget!C17</f>
        <v>0</v>
      </c>
      <c r="D45" s="108">
        <f t="shared" si="0"/>
        <v>0</v>
      </c>
      <c r="E45" s="44" t="s">
        <v>105</v>
      </c>
      <c r="F45" s="45">
        <v>0</v>
      </c>
    </row>
    <row r="46" spans="2:6" ht="15" thickBot="1" x14ac:dyDescent="0.35">
      <c r="B46" s="47" t="s">
        <v>106</v>
      </c>
      <c r="C46" s="48">
        <f>SUM(C43:C45)</f>
        <v>0</v>
      </c>
      <c r="D46" s="108">
        <f t="shared" si="0"/>
        <v>130503.97</v>
      </c>
      <c r="E46" s="47" t="s">
        <v>106</v>
      </c>
      <c r="F46" s="48">
        <v>-130503.97</v>
      </c>
    </row>
    <row r="47" spans="2:6" ht="15" thickBot="1" x14ac:dyDescent="0.35">
      <c r="B47" s="49" t="s">
        <v>107</v>
      </c>
      <c r="C47" s="50">
        <f>+C46+C42</f>
        <v>2009171.895312719</v>
      </c>
      <c r="D47" s="108">
        <f t="shared" si="0"/>
        <v>916762.24749730458</v>
      </c>
      <c r="E47" s="49" t="s">
        <v>107</v>
      </c>
      <c r="F47" s="50">
        <v>1092409.6478154145</v>
      </c>
    </row>
    <row r="48" spans="2:6" ht="15" thickBot="1" x14ac:dyDescent="0.35">
      <c r="B48" s="44" t="s">
        <v>108</v>
      </c>
      <c r="C48" s="45">
        <f>-OthersBudget!C19</f>
        <v>-602751.56859381567</v>
      </c>
      <c r="D48" s="108">
        <f t="shared" si="0"/>
        <v>-275028.67424920027</v>
      </c>
      <c r="E48" s="44" t="s">
        <v>108</v>
      </c>
      <c r="F48" s="45">
        <v>-327722.8943446154</v>
      </c>
    </row>
    <row r="49" spans="2:6" ht="15" thickBot="1" x14ac:dyDescent="0.35">
      <c r="B49" s="49" t="s">
        <v>109</v>
      </c>
      <c r="C49" s="50">
        <f>C47+C48</f>
        <v>1406420.3267189034</v>
      </c>
      <c r="D49" s="108">
        <f t="shared" si="0"/>
        <v>641733.57324810431</v>
      </c>
      <c r="E49" s="49" t="s">
        <v>109</v>
      </c>
      <c r="F49" s="50">
        <v>764686.75347079907</v>
      </c>
    </row>
    <row r="50" spans="2:6" x14ac:dyDescent="0.3">
      <c r="C50" s="102"/>
    </row>
    <row r="53" spans="2:6" x14ac:dyDescent="0.3">
      <c r="E53" s="102"/>
    </row>
    <row r="54" spans="2:6" x14ac:dyDescent="0.3">
      <c r="D54" s="102"/>
    </row>
  </sheetData>
  <mergeCells count="4">
    <mergeCell ref="B2:C2"/>
    <mergeCell ref="B3:B4"/>
    <mergeCell ref="E2:F2"/>
    <mergeCell ref="E3:E4"/>
  </mergeCells>
  <pageMargins left="0.7" right="0.7" top="0.75" bottom="0.75" header="0.3" footer="0.3"/>
  <pageSetup paperSize="9"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66F80-CE68-41EB-ABBB-DDA3104E92AF}">
  <dimension ref="A1:I45"/>
  <sheetViews>
    <sheetView workbookViewId="0">
      <selection activeCell="G15" sqref="G15"/>
    </sheetView>
  </sheetViews>
  <sheetFormatPr defaultRowHeight="14.4" x14ac:dyDescent="0.3"/>
  <cols>
    <col min="2" max="2" width="34.21875" bestFit="1" customWidth="1"/>
    <col min="3" max="3" width="13.109375" bestFit="1" customWidth="1"/>
    <col min="4" max="5" width="12.77734375" bestFit="1" customWidth="1"/>
    <col min="6" max="6" width="26.21875" bestFit="1" customWidth="1"/>
    <col min="7" max="7" width="20.5546875" bestFit="1" customWidth="1"/>
    <col min="8" max="8" width="18.21875" customWidth="1"/>
    <col min="9" max="9" width="13.1093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</row>
    <row r="2" spans="1:9" x14ac:dyDescent="0.3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">
      <c r="A3" s="96"/>
      <c r="B3" s="96" t="s">
        <v>214</v>
      </c>
      <c r="C3" s="96">
        <v>0.41</v>
      </c>
      <c r="D3" s="96"/>
      <c r="E3" s="96" t="s">
        <v>200</v>
      </c>
      <c r="F3" s="96" t="s">
        <v>385</v>
      </c>
      <c r="G3" s="96" t="s">
        <v>386</v>
      </c>
      <c r="H3" s="96" t="s">
        <v>301</v>
      </c>
      <c r="I3" s="96" t="s">
        <v>302</v>
      </c>
    </row>
    <row r="4" spans="1:9" x14ac:dyDescent="0.3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'Analisi degli scostamenti'!F23</f>
        <v>16483435.961118348</v>
      </c>
      <c r="G4" s="96">
        <f>F4/1000</f>
        <v>16483.435961118346</v>
      </c>
      <c r="H4" s="96">
        <f>C23*G4*C24</f>
        <v>1514003.59302872</v>
      </c>
      <c r="I4" s="107">
        <f>G4*(C26+C22*C27)</f>
        <v>3959321.3178606266</v>
      </c>
    </row>
    <row r="5" spans="1:9" x14ac:dyDescent="0.3">
      <c r="A5" s="96"/>
      <c r="B5" s="96" t="s">
        <v>216</v>
      </c>
      <c r="C5" s="96">
        <v>8997222.2200000007</v>
      </c>
      <c r="D5" s="96"/>
      <c r="E5" s="96" t="s">
        <v>208</v>
      </c>
      <c r="F5" s="96">
        <f>'Analisi degli scostamenti'!F24</f>
        <v>7292319.678676635</v>
      </c>
      <c r="G5" s="96">
        <f t="shared" ref="G5:G6" si="0">F5/1000</f>
        <v>7292.3196786766348</v>
      </c>
      <c r="H5" s="96">
        <f>C21*G5*C24</f>
        <v>401077.58232721494</v>
      </c>
      <c r="I5" s="107">
        <f>G5*C27</f>
        <v>437539.18072059809</v>
      </c>
    </row>
    <row r="6" spans="1:9" x14ac:dyDescent="0.3">
      <c r="A6" s="96"/>
      <c r="B6" s="96" t="s">
        <v>217</v>
      </c>
      <c r="C6" s="96">
        <v>4300000</v>
      </c>
      <c r="D6" s="96"/>
      <c r="E6" s="96" t="s">
        <v>209</v>
      </c>
      <c r="F6" s="96">
        <f>'Analisi degli scostamenti'!F25</f>
        <v>10882356.839999827</v>
      </c>
      <c r="G6" s="96">
        <f t="shared" si="0"/>
        <v>10882.356839999826</v>
      </c>
      <c r="H6" s="96">
        <f>G6*C20*C24</f>
        <v>870588.54719998618</v>
      </c>
      <c r="I6" s="107">
        <f>G6*C28</f>
        <v>707353.19459998864</v>
      </c>
    </row>
    <row r="7" spans="1:9" x14ac:dyDescent="0.3">
      <c r="A7" s="96"/>
      <c r="B7" s="96"/>
      <c r="C7" s="96"/>
      <c r="D7" s="96"/>
      <c r="E7" s="96" t="s">
        <v>210</v>
      </c>
      <c r="F7" s="96">
        <f xml:space="preserve"> SUM(F4:F6)</f>
        <v>34658112.479794808</v>
      </c>
      <c r="G7" s="96">
        <f>G6+G5+G4</f>
        <v>34658.112479794807</v>
      </c>
      <c r="H7" s="96"/>
    </row>
    <row r="8" spans="1:9" x14ac:dyDescent="0.3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1503270.4700231024</v>
      </c>
      <c r="H9" s="96"/>
    </row>
    <row r="10" spans="1:9" x14ac:dyDescent="0.3">
      <c r="A10" s="96"/>
      <c r="B10" s="96"/>
      <c r="C10" s="96"/>
      <c r="D10" s="96"/>
      <c r="E10" s="96"/>
      <c r="F10" s="96" t="s">
        <v>227</v>
      </c>
      <c r="G10" s="96">
        <f>(I4+I5+I6+C30)*C17</f>
        <v>1466609.7575386281</v>
      </c>
      <c r="H10" s="96"/>
    </row>
    <row r="11" spans="1:9" x14ac:dyDescent="0.3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467988.62923513958</v>
      </c>
    </row>
    <row r="13" spans="1:9" x14ac:dyDescent="0.3">
      <c r="A13" s="96"/>
      <c r="B13" s="96"/>
      <c r="C13" s="96"/>
      <c r="D13" s="96"/>
      <c r="E13" s="110"/>
      <c r="F13" s="96" t="s">
        <v>230</v>
      </c>
      <c r="G13" s="96">
        <f>G7*C36</f>
        <v>1497230.4591271358</v>
      </c>
    </row>
    <row r="14" spans="1:9" x14ac:dyDescent="0.3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Ricavi!F90*C38</f>
        <v>788900.33019999997</v>
      </c>
    </row>
    <row r="15" spans="1:9" x14ac:dyDescent="0.3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574949.27413218142</v>
      </c>
      <c r="H15" s="96"/>
    </row>
    <row r="16" spans="1:9" x14ac:dyDescent="0.3">
      <c r="A16" s="96"/>
      <c r="B16" s="96"/>
      <c r="C16" s="96"/>
      <c r="D16" s="96"/>
      <c r="E16" s="96"/>
      <c r="F16" s="96"/>
      <c r="G16" s="96"/>
      <c r="H16" s="96"/>
    </row>
    <row r="17" spans="1:8" x14ac:dyDescent="0.3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6452698.9202561863</v>
      </c>
      <c r="H17" s="96"/>
    </row>
    <row r="18" spans="1:8" x14ac:dyDescent="0.3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">
      <c r="A19" s="96"/>
      <c r="B19" s="96"/>
      <c r="C19" s="96"/>
      <c r="D19" s="96"/>
      <c r="E19" s="96"/>
      <c r="F19" s="96"/>
      <c r="G19" s="96"/>
      <c r="H19" s="96"/>
    </row>
    <row r="20" spans="1:8" x14ac:dyDescent="0.3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">
      <c r="A23" s="96"/>
      <c r="B23" s="96" t="s">
        <v>276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">
      <c r="B24" s="96" t="s">
        <v>249</v>
      </c>
      <c r="C24" s="96">
        <v>86</v>
      </c>
    </row>
    <row r="25" spans="1:8" x14ac:dyDescent="0.3">
      <c r="C25" s="96"/>
    </row>
    <row r="26" spans="1:8" x14ac:dyDescent="0.3">
      <c r="B26" s="96" t="s">
        <v>275</v>
      </c>
      <c r="C26" s="96">
        <f>VariableCosts!C12</f>
        <v>140</v>
      </c>
    </row>
    <row r="27" spans="1:8" x14ac:dyDescent="0.3">
      <c r="B27" s="96" t="s">
        <v>250</v>
      </c>
      <c r="C27" s="96">
        <f>VariableCosts!C11</f>
        <v>60</v>
      </c>
    </row>
    <row r="28" spans="1:8" x14ac:dyDescent="0.3">
      <c r="B28" s="96" t="s">
        <v>251</v>
      </c>
      <c r="C28" s="96">
        <f>VariableCosts!C10</f>
        <v>65</v>
      </c>
    </row>
    <row r="29" spans="1:8" x14ac:dyDescent="0.3">
      <c r="B29" s="96" t="s">
        <v>264</v>
      </c>
      <c r="C29" s="96">
        <f>VariableCosts!C13</f>
        <v>275000</v>
      </c>
    </row>
    <row r="30" spans="1:8" x14ac:dyDescent="0.3">
      <c r="B30" s="96" t="s">
        <v>265</v>
      </c>
      <c r="C30" s="96">
        <f>C29*12</f>
        <v>3300000</v>
      </c>
    </row>
    <row r="32" spans="1:8" x14ac:dyDescent="0.3">
      <c r="B32" s="96" t="s">
        <v>266</v>
      </c>
      <c r="C32" s="96">
        <v>10.24</v>
      </c>
    </row>
    <row r="34" spans="2:3" x14ac:dyDescent="0.3">
      <c r="B34" s="96" t="s">
        <v>267</v>
      </c>
      <c r="C34" s="96">
        <v>40</v>
      </c>
    </row>
    <row r="35" spans="2:3" x14ac:dyDescent="0.3">
      <c r="B35" t="s">
        <v>268</v>
      </c>
      <c r="C35" s="96">
        <v>0.08</v>
      </c>
    </row>
    <row r="36" spans="2:3" x14ac:dyDescent="0.3">
      <c r="B36" s="96" t="s">
        <v>269</v>
      </c>
      <c r="C36">
        <f>C34*(1+C35)</f>
        <v>43.2</v>
      </c>
    </row>
    <row r="38" spans="2:3" x14ac:dyDescent="0.3">
      <c r="B38" t="s">
        <v>270</v>
      </c>
      <c r="C38" s="96">
        <v>0.02</v>
      </c>
    </row>
    <row r="40" spans="2:3" x14ac:dyDescent="0.3">
      <c r="B40" s="96" t="s">
        <v>233</v>
      </c>
      <c r="C40" s="96">
        <f>G4*C23</f>
        <v>17604.692942194419</v>
      </c>
    </row>
    <row r="41" spans="2:3" x14ac:dyDescent="0.3">
      <c r="B41" s="96" t="s">
        <v>273</v>
      </c>
      <c r="C41" s="96">
        <f>G5*C21</f>
        <v>4663.6928177583131</v>
      </c>
    </row>
    <row r="42" spans="2:3" x14ac:dyDescent="0.3">
      <c r="B42" s="96" t="s">
        <v>272</v>
      </c>
      <c r="C42" s="107">
        <f>G6*C20</f>
        <v>10123.122641860304</v>
      </c>
    </row>
    <row r="43" spans="2:3" x14ac:dyDescent="0.3">
      <c r="B43" s="96" t="s">
        <v>234</v>
      </c>
      <c r="C43" s="96">
        <f>C41+C40+C42</f>
        <v>32391.508401813036</v>
      </c>
    </row>
    <row r="44" spans="2:3" x14ac:dyDescent="0.3">
      <c r="B44" s="96" t="s">
        <v>235</v>
      </c>
      <c r="C44" s="96">
        <f>C43*0.25</f>
        <v>8097.8771004532591</v>
      </c>
    </row>
    <row r="45" spans="2:3" x14ac:dyDescent="0.3">
      <c r="B45" s="96" t="s">
        <v>252</v>
      </c>
      <c r="C45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12</vt:i4>
      </vt:variant>
    </vt:vector>
  </HeadingPairs>
  <TitlesOfParts>
    <vt:vector size="12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Analisi degli scostamenti</vt:lpstr>
      <vt:lpstr>CE Budget 2022</vt:lpstr>
      <vt:lpstr>VariableCostsC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NICOLA ALGERI</cp:lastModifiedBy>
  <dcterms:created xsi:type="dcterms:W3CDTF">2015-06-05T18:19:34Z</dcterms:created>
  <dcterms:modified xsi:type="dcterms:W3CDTF">2025-12-12T12:35:23Z</dcterms:modified>
</cp:coreProperties>
</file>