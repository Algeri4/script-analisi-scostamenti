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Nicola\UNIBG\Sistemi di controllo di gestione\script analisi scostamenti\"/>
    </mc:Choice>
  </mc:AlternateContent>
  <xr:revisionPtr revIDLastSave="0" documentId="13_ncr:1_{E2E2432B-FF90-4D8C-B125-165B7E71AD35}" xr6:coauthVersionLast="47" xr6:coauthVersionMax="47" xr10:uidLastSave="{00000000-0000-0000-0000-000000000000}"/>
  <bookViews>
    <workbookView xWindow="-108" yWindow="-108" windowWidth="23256" windowHeight="12576" firstSheet="1" activeTab="7" xr2:uid="{00000000-000D-0000-FFFF-FFFF00000000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8" l="1"/>
  <c r="C26" i="9"/>
  <c r="C21" i="9"/>
  <c r="C19" i="9"/>
  <c r="C17" i="9"/>
  <c r="C14" i="9"/>
  <c r="C12" i="9"/>
  <c r="C10" i="9"/>
  <c r="C8" i="9"/>
  <c r="C6" i="9"/>
  <c r="C4" i="9"/>
  <c r="C2" i="9"/>
  <c r="G15" i="8"/>
  <c r="G17" i="8"/>
  <c r="C23" i="8"/>
  <c r="C22" i="8"/>
  <c r="C21" i="8"/>
  <c r="G14" i="8"/>
  <c r="G11" i="8"/>
  <c r="G13" i="8"/>
  <c r="G12" i="8"/>
  <c r="G10" i="8"/>
  <c r="G9" i="8"/>
  <c r="F6" i="8"/>
  <c r="G6" i="8" s="1"/>
  <c r="F5" i="8"/>
  <c r="G5" i="8" s="1"/>
  <c r="F4" i="8"/>
  <c r="C8" i="8"/>
  <c r="C11" i="8" s="1"/>
  <c r="C17" i="8" s="1"/>
  <c r="C4" i="8"/>
  <c r="C9" i="8" s="1"/>
  <c r="C12" i="8" s="1"/>
  <c r="C18" i="8" s="1"/>
  <c r="C4" i="7"/>
  <c r="B58" i="7"/>
  <c r="B51" i="7"/>
  <c r="H65" i="7"/>
  <c r="C65" i="7"/>
  <c r="D65" i="7"/>
  <c r="F65" i="7" s="1"/>
  <c r="E65" i="7"/>
  <c r="B65" i="7"/>
  <c r="H64" i="7"/>
  <c r="C64" i="7"/>
  <c r="D64" i="7"/>
  <c r="F64" i="7" s="1"/>
  <c r="B64" i="7"/>
  <c r="B61" i="7"/>
  <c r="C61" i="7"/>
  <c r="D61" i="7"/>
  <c r="E61" i="7"/>
  <c r="B62" i="7"/>
  <c r="C62" i="7"/>
  <c r="D62" i="7"/>
  <c r="F62" i="7" s="1"/>
  <c r="E62" i="7"/>
  <c r="B63" i="7"/>
  <c r="C63" i="7"/>
  <c r="D63" i="7"/>
  <c r="E63" i="7"/>
  <c r="F63" i="7"/>
  <c r="C51" i="7"/>
  <c r="D51" i="7"/>
  <c r="E51" i="7"/>
  <c r="B52" i="7"/>
  <c r="C52" i="7"/>
  <c r="D52" i="7"/>
  <c r="E52" i="7"/>
  <c r="B53" i="7"/>
  <c r="C53" i="7"/>
  <c r="D53" i="7"/>
  <c r="E53" i="7"/>
  <c r="B54" i="7"/>
  <c r="C54" i="7"/>
  <c r="D54" i="7"/>
  <c r="E54" i="7"/>
  <c r="F54" i="7"/>
  <c r="B55" i="7"/>
  <c r="C55" i="7"/>
  <c r="D55" i="7"/>
  <c r="E55" i="7"/>
  <c r="B56" i="7"/>
  <c r="C56" i="7"/>
  <c r="D56" i="7"/>
  <c r="F56" i="7" s="1"/>
  <c r="E56" i="7"/>
  <c r="B57" i="7"/>
  <c r="C57" i="7"/>
  <c r="D57" i="7"/>
  <c r="E57" i="7"/>
  <c r="F57" i="7"/>
  <c r="C58" i="7"/>
  <c r="D58" i="7"/>
  <c r="E58" i="7"/>
  <c r="B59" i="7"/>
  <c r="C59" i="7"/>
  <c r="D59" i="7"/>
  <c r="E59" i="7"/>
  <c r="B60" i="7"/>
  <c r="C60" i="7"/>
  <c r="D60" i="7"/>
  <c r="E60" i="7"/>
  <c r="B36" i="7"/>
  <c r="C36" i="7"/>
  <c r="D36" i="7"/>
  <c r="E36" i="7"/>
  <c r="B37" i="7"/>
  <c r="C37" i="7"/>
  <c r="D37" i="7"/>
  <c r="E37" i="7"/>
  <c r="F37" i="7"/>
  <c r="B38" i="7"/>
  <c r="C38" i="7"/>
  <c r="D38" i="7"/>
  <c r="E38" i="7"/>
  <c r="B39" i="7"/>
  <c r="C39" i="7"/>
  <c r="D39" i="7"/>
  <c r="F39" i="7" s="1"/>
  <c r="E39" i="7"/>
  <c r="B40" i="7"/>
  <c r="C40" i="7"/>
  <c r="D40" i="7"/>
  <c r="E40" i="7"/>
  <c r="F40" i="7" s="1"/>
  <c r="B41" i="7"/>
  <c r="C41" i="7"/>
  <c r="D41" i="7"/>
  <c r="E41" i="7"/>
  <c r="F41" i="7"/>
  <c r="B42" i="7"/>
  <c r="C42" i="7"/>
  <c r="D42" i="7"/>
  <c r="F42" i="7" s="1"/>
  <c r="E42" i="7"/>
  <c r="B43" i="7"/>
  <c r="C43" i="7"/>
  <c r="D43" i="7"/>
  <c r="E43" i="7"/>
  <c r="B44" i="7"/>
  <c r="C44" i="7"/>
  <c r="D44" i="7"/>
  <c r="E44" i="7"/>
  <c r="B45" i="7"/>
  <c r="C45" i="7"/>
  <c r="D45" i="7"/>
  <c r="E45" i="7"/>
  <c r="B46" i="7"/>
  <c r="C46" i="7"/>
  <c r="D46" i="7"/>
  <c r="F46" i="7" s="1"/>
  <c r="E46" i="7"/>
  <c r="B47" i="7"/>
  <c r="C47" i="7"/>
  <c r="D47" i="7"/>
  <c r="E47" i="7"/>
  <c r="B48" i="7"/>
  <c r="C48" i="7"/>
  <c r="D48" i="7"/>
  <c r="E48" i="7"/>
  <c r="B49" i="7"/>
  <c r="C49" i="7"/>
  <c r="D49" i="7"/>
  <c r="E49" i="7"/>
  <c r="B50" i="7"/>
  <c r="C50" i="7"/>
  <c r="D50" i="7"/>
  <c r="F50" i="7" s="1"/>
  <c r="E50" i="7"/>
  <c r="B4" i="7"/>
  <c r="D4" i="7"/>
  <c r="E4" i="7"/>
  <c r="B5" i="7"/>
  <c r="C5" i="7"/>
  <c r="D5" i="7"/>
  <c r="E5" i="7"/>
  <c r="B6" i="7"/>
  <c r="C6" i="7"/>
  <c r="D6" i="7"/>
  <c r="E6" i="7"/>
  <c r="F6" i="7"/>
  <c r="B7" i="7"/>
  <c r="C7" i="7"/>
  <c r="D7" i="7"/>
  <c r="F7" i="7" s="1"/>
  <c r="E7" i="7"/>
  <c r="B8" i="7"/>
  <c r="C8" i="7"/>
  <c r="D8" i="7"/>
  <c r="E8" i="7"/>
  <c r="F8" i="7"/>
  <c r="B9" i="7"/>
  <c r="C9" i="7"/>
  <c r="D9" i="7"/>
  <c r="E9" i="7"/>
  <c r="F9" i="7"/>
  <c r="B10" i="7"/>
  <c r="C10" i="7"/>
  <c r="D10" i="7"/>
  <c r="F10" i="7" s="1"/>
  <c r="E10" i="7"/>
  <c r="B11" i="7"/>
  <c r="C11" i="7"/>
  <c r="D11" i="7"/>
  <c r="E11" i="7"/>
  <c r="F11" i="7" s="1"/>
  <c r="B12" i="7"/>
  <c r="C12" i="7"/>
  <c r="D12" i="7"/>
  <c r="E12" i="7"/>
  <c r="B13" i="7"/>
  <c r="C13" i="7"/>
  <c r="D13" i="7"/>
  <c r="E13" i="7"/>
  <c r="B14" i="7"/>
  <c r="C14" i="7"/>
  <c r="D14" i="7"/>
  <c r="E14" i="7"/>
  <c r="B15" i="7"/>
  <c r="C15" i="7"/>
  <c r="D15" i="7"/>
  <c r="E15" i="7"/>
  <c r="B16" i="7"/>
  <c r="C16" i="7"/>
  <c r="D16" i="7"/>
  <c r="E16" i="7"/>
  <c r="B17" i="7"/>
  <c r="C17" i="7"/>
  <c r="D17" i="7"/>
  <c r="E17" i="7"/>
  <c r="B18" i="7"/>
  <c r="C18" i="7"/>
  <c r="D18" i="7"/>
  <c r="F18" i="7" s="1"/>
  <c r="E18" i="7"/>
  <c r="B19" i="7"/>
  <c r="C19" i="7"/>
  <c r="D19" i="7"/>
  <c r="E19" i="7"/>
  <c r="F19" i="7"/>
  <c r="B20" i="7"/>
  <c r="C20" i="7"/>
  <c r="D20" i="7"/>
  <c r="E20" i="7"/>
  <c r="F20" i="7"/>
  <c r="B21" i="7"/>
  <c r="C21" i="7"/>
  <c r="D21" i="7"/>
  <c r="F21" i="7" s="1"/>
  <c r="E21" i="7"/>
  <c r="B22" i="7"/>
  <c r="C22" i="7"/>
  <c r="D22" i="7"/>
  <c r="F22" i="7" s="1"/>
  <c r="E22" i="7"/>
  <c r="B23" i="7"/>
  <c r="C23" i="7"/>
  <c r="D23" i="7"/>
  <c r="E23" i="7"/>
  <c r="B24" i="7"/>
  <c r="C24" i="7"/>
  <c r="D24" i="7"/>
  <c r="E24" i="7"/>
  <c r="F24" i="7"/>
  <c r="B25" i="7"/>
  <c r="C25" i="7"/>
  <c r="D25" i="7"/>
  <c r="F25" i="7" s="1"/>
  <c r="E25" i="7"/>
  <c r="B26" i="7"/>
  <c r="C26" i="7"/>
  <c r="D26" i="7"/>
  <c r="E26" i="7"/>
  <c r="B27" i="7"/>
  <c r="C27" i="7"/>
  <c r="D27" i="7"/>
  <c r="E27" i="7"/>
  <c r="B28" i="7"/>
  <c r="C28" i="7"/>
  <c r="D28" i="7"/>
  <c r="E28" i="7"/>
  <c r="F28" i="7"/>
  <c r="B29" i="7"/>
  <c r="C29" i="7"/>
  <c r="D29" i="7"/>
  <c r="F29" i="7" s="1"/>
  <c r="E29" i="7"/>
  <c r="B30" i="7"/>
  <c r="C30" i="7"/>
  <c r="D30" i="7"/>
  <c r="E30" i="7"/>
  <c r="B31" i="7"/>
  <c r="C31" i="7"/>
  <c r="D31" i="7"/>
  <c r="E31" i="7"/>
  <c r="F31" i="7"/>
  <c r="B32" i="7"/>
  <c r="C32" i="7"/>
  <c r="D32" i="7"/>
  <c r="E32" i="7"/>
  <c r="B33" i="7"/>
  <c r="C33" i="7"/>
  <c r="D33" i="7"/>
  <c r="E33" i="7"/>
  <c r="B34" i="7"/>
  <c r="C34" i="7"/>
  <c r="D34" i="7"/>
  <c r="E34" i="7"/>
  <c r="F34" i="7"/>
  <c r="B35" i="7"/>
  <c r="C35" i="7"/>
  <c r="D35" i="7"/>
  <c r="E35" i="7"/>
  <c r="F35" i="7"/>
  <c r="F3" i="7"/>
  <c r="C3" i="7"/>
  <c r="D3" i="7"/>
  <c r="E3" i="7"/>
  <c r="B3" i="7"/>
  <c r="F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4" i="1"/>
  <c r="H76" i="1" s="1"/>
  <c r="G15" i="3"/>
  <c r="G78" i="1"/>
  <c r="G79" i="1"/>
  <c r="G77" i="1"/>
  <c r="E4" i="1"/>
  <c r="C46" i="3"/>
  <c r="C41" i="3"/>
  <c r="C37" i="3"/>
  <c r="C32" i="3"/>
  <c r="C28" i="3"/>
  <c r="C20" i="3"/>
  <c r="C17" i="3"/>
  <c r="C13" i="3"/>
  <c r="C10" i="3"/>
  <c r="C23" i="9" l="1"/>
  <c r="F7" i="8"/>
  <c r="G4" i="8"/>
  <c r="G7" i="8" s="1"/>
  <c r="F45" i="7"/>
  <c r="F52" i="7"/>
  <c r="F17" i="7"/>
  <c r="F61" i="7"/>
  <c r="F27" i="7"/>
  <c r="F12" i="7"/>
  <c r="F23" i="7"/>
  <c r="F30" i="7"/>
  <c r="F26" i="7"/>
  <c r="F15" i="7"/>
  <c r="F51" i="7"/>
  <c r="F38" i="7"/>
  <c r="F13" i="7"/>
  <c r="F59" i="7"/>
  <c r="F16" i="7"/>
  <c r="F33" i="7"/>
  <c r="F49" i="7"/>
  <c r="F5" i="7"/>
  <c r="F60" i="7"/>
  <c r="F32" i="7"/>
  <c r="F48" i="7"/>
  <c r="F44" i="7"/>
  <c r="F4" i="7"/>
  <c r="F14" i="7"/>
  <c r="F47" i="7"/>
  <c r="F43" i="7"/>
  <c r="F36" i="7"/>
  <c r="F53" i="7"/>
  <c r="F58" i="7"/>
  <c r="F55" i="7"/>
  <c r="J75" i="1"/>
  <c r="H77" i="1"/>
  <c r="H4" i="1"/>
  <c r="C21" i="3"/>
  <c r="C33" i="3" s="1"/>
  <c r="C38" i="3" s="1"/>
  <c r="C42" i="3" s="1"/>
  <c r="C47" i="3" s="1"/>
  <c r="C49" i="3" s="1"/>
  <c r="F67" i="7" l="1"/>
  <c r="F37" i="3"/>
  <c r="F32" i="3"/>
  <c r="F28" i="3"/>
  <c r="F20" i="3"/>
  <c r="F17" i="3"/>
  <c r="F79" i="1" l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1" i="1"/>
  <c r="F40" i="1"/>
  <c r="F38" i="1"/>
  <c r="F36" i="1"/>
  <c r="F35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</calcChain>
</file>

<file path=xl/sharedStrings.xml><?xml version="1.0" encoding="utf-8"?>
<sst xmlns="http://schemas.openxmlformats.org/spreadsheetml/2006/main" count="560" uniqueCount="254">
  <si>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</si>
  <si>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</si>
  <si>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</si>
  <si>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</si>
  <si>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</si>
  <si>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</si>
  <si>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</si>
  <si>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</si>
  <si>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</si>
  <si>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</si>
  <si>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</si>
  <si>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</si>
  <si>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</si>
  <si>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</si>
  <si>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</si>
  <si>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</si>
  <si>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</si>
  <si>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</si>
  <si>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</si>
  <si>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</si>
  <si>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</si>
  <si>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</si>
  <si>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</si>
  <si>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</si>
  <si>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</si>
  <si>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</si>
  <si>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</si>
  <si>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</si>
  <si>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</si>
  <si>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</si>
  <si>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</si>
  <si>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</si>
  <si>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</si>
  <si>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</si>
  <si>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</si>
  <si>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</si>
  <si>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</si>
  <si>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</si>
  <si>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</si>
  <si>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</si>
  <si>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</si>
  <si>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</si>
  <si>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</si>
  <si>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</si>
  <si>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</si>
  <si>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</si>
  <si>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</si>
  <si>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</si>
  <si>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</si>
  <si>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</si>
  <si>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</si>
  <si>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</si>
  <si>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</si>
  <si>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</si>
  <si>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</si>
  <si>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</si>
  <si>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</si>
  <si>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</si>
  <si>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</si>
  <si>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</si>
  <si>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</si>
  <si>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</si>
  <si>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</si>
  <si>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</si>
  <si>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</si>
  <si>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</si>
  <si>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</si>
  <si>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</si>
  <si>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</si>
  <si>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</si>
  <si>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</si>
  <si>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</si>
  <si>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</si>
  <si>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</si>
  <si>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</si>
  <si>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</si>
  <si>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</si>
  <si>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</si>
  <si>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</si>
  <si>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</si>
  <si>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</si>
  <si>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</si>
  <si>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</si>
  <si>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</si>
  <si>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</si>
  <si>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</si>
  <si>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</si>
  <si>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</si>
  <si>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</si>
  <si>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</si>
  <si>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</si>
  <si>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</si>
  <si>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</si>
  <si>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</si>
  <si>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</si>
  <si>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</si>
  <si>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</si>
  <si>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</si>
  <si>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</si>
  <si>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</si>
  <si>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</si>
  <si>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</si>
  <si>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</si>
  <si>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</si>
  <si>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</si>
  <si>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</si>
  <si>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</si>
  <si>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</si>
  <si>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</si>
  <si>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</si>
  <si>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</si>
  <si>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</si>
  <si>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</si>
  <si>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</si>
  <si>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</si>
  <si>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</si>
  <si>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</si>
  <si>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</si>
  <si>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</si>
  <si>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</si>
  <si>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</si>
  <si>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</si>
  <si>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</si>
  <si>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</si>
  <si>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</si>
  <si>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</si>
  <si>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</si>
  <si>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</si>
  <si>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</si>
  <si>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</si>
  <si>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</si>
  <si>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</si>
  <si>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</si>
  <si>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</si>
  <si>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</si>
  <si>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</si>
  <si>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</si>
  <si>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</si>
  <si>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</si>
  <si>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</si>
  <si>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</si>
  <si>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</si>
  <si>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</si>
  <si>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</si>
  <si>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</si>
  <si>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</si>
  <si>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</si>
  <si>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</si>
  <si>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</si>
  <si>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</si>
  <si>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</si>
  <si>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</si>
  <si>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</si>
  <si>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</si>
  <si>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</si>
  <si>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</si>
  <si>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</si>
  <si>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</si>
  <si>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</si>
  <si>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</si>
  <si>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</si>
  <si>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</si>
  <si>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</si>
  <si>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</si>
  <si>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</si>
  <si>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</si>
  <si>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</si>
  <si>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</si>
  <si>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</si>
  <si>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</si>
  <si>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</si>
  <si>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</si>
  <si>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</si>
  <si>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</si>
  <si>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</si>
  <si>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</si>
  <si>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</si>
  <si>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</si>
  <si>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</si>
  <si>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</si>
  <si>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</si>
  <si>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</si>
  <si>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</si>
  <si>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</si>
  <si>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</si>
  <si>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</si>
  <si>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</si>
  <si>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</si>
  <si>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</si>
  <si>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</si>
  <si>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</si>
  <si>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</si>
  <si>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</si>
  <si>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</si>
  <si>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</si>
  <si>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</si>
  <si>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</si>
  <si>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</si>
  <si>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</si>
  <si>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</si>
  <si>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</si>
  <si>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</si>
  <si>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</si>
  <si>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</si>
  <si>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</si>
  <si>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</si>
  <si>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</si>
  <si>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P, comsumi energia/metano diversi</t>
  </si>
  <si>
    <t>Polveri V, comsumi medi diversi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</si>
  <si>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</si>
  <si>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</si>
  <si>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</si>
  <si>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</si>
  <si>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</si>
  <si>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</si>
  <si>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</si>
  <si>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</si>
  <si>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</si>
  <si>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</si>
  <si>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</si>
  <si>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</si>
  <si>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</si>
  <si>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</si>
  <si>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</si>
  <si>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</si>
  <si>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</si>
  <si>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</si>
  <si>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</si>
  <si>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=(ton PF A*0,93 + ton PF V*0,64)*prezzo smc 2022</t>
  </si>
  <si>
    <t>=(ton P*140 + ton V*60 + ton A*65 + 3.300.000)*prezzo kWh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</si>
  <si>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</si>
  <si>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</si>
  <si>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</si>
  <si>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</si>
  <si>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</si>
  <si>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</si>
  <si>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</si>
  <si>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</si>
  <si>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AV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</si>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</sst>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7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0" fontId="28" fillId="0" borderId="12" xfId="2" applyFont="1" applyBorder="1" applyAlignment="1">
      <alignment horizontal="left" vertical="center"/>
    </xf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 refreshError="1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J62"/>
  <sheetViews>
    <sheetView showGridLines="0" topLeftCell="A2" zoomScale="92" zoomScaleNormal="90" workbookViewId="0">
      <selection activeCell="B33" sqref="B33"/>
    </sheetView>
  </sheetViews>
  <sheetFormatPr defaultColWidth="8.88671875" defaultRowHeight="14.4" x14ac:dyDescent="0.3"/>
  <cols>
    <col min="1" max="1" width="2.88671875" style="1" customWidth="1"/>
    <col min="2" max="2" width="45.44140625" style="1" bestFit="1" customWidth="1"/>
    <col min="3" max="3" width="12.88671875" style="1" bestFit="1" customWidth="1"/>
    <col min="4" max="4" width="13.6640625" style="1" bestFit="1" customWidth="1"/>
    <col min="5" max="5" width="45.44140625" style="1" bestFit="1" customWidth="1"/>
    <col min="6" max="6" width="12.88671875" style="1" bestFit="1" customWidth="1"/>
    <col min="7" max="7" width="13.6640625" style="1" customWidth="1"/>
    <col min="8" max="16384" width="8.88671875" style="1"/>
  </cols>
  <sheetData>
    <row r="1" spans="2:10" ht="16.2" customHeight="1" thickBot="1" x14ac:dyDescent="0.35"/>
    <row r="2" spans="2:10" ht="18.600000000000001" thickBot="1" x14ac:dyDescent="0.35">
      <c r="B2" s="97" t="s">
        <v>139</v>
      </c>
      <c r="C2" s="98"/>
      <c r="E2" s="97" t="s">
        <v>139</v>
      </c>
      <c r="F2" s="98"/>
    </row>
    <row r="3" spans="2:10" x14ac:dyDescent="0.3">
      <c r="B3" s="95" t="s">
        <v>169</v>
      </c>
      <c r="C3" s="42" t="s">
        <v>65</v>
      </c>
      <c r="E3" s="99" t="s">
        <v>170</v>
      </c>
      <c r="F3" s="80" t="s">
        <v>65</v>
      </c>
    </row>
    <row r="4" spans="2:10" x14ac:dyDescent="0.3">
      <c r="B4" s="96"/>
      <c r="C4" s="43" t="s">
        <v>66</v>
      </c>
      <c r="E4" s="96"/>
      <c r="F4" s="43" t="s">
        <v>66</v>
      </c>
      <c r="J4" s="1" t="s">
        <v>191</v>
      </c>
    </row>
    <row r="5" spans="2:10" x14ac:dyDescent="0.3">
      <c r="B5" s="44" t="s">
        <v>67</v>
      </c>
      <c r="C5" s="85">
        <v>61294659.022799999</v>
      </c>
      <c r="E5" s="44"/>
      <c r="F5" s="45"/>
    </row>
    <row r="6" spans="2:10" x14ac:dyDescent="0.3">
      <c r="B6" s="46" t="s">
        <v>137</v>
      </c>
      <c r="C6" s="84">
        <v>528226.62545000005</v>
      </c>
      <c r="E6" s="46"/>
      <c r="F6" s="45"/>
    </row>
    <row r="7" spans="2:10" x14ac:dyDescent="0.3">
      <c r="B7" s="44" t="s">
        <v>138</v>
      </c>
      <c r="C7" s="84">
        <v>1877590.3519999997</v>
      </c>
      <c r="E7" s="44"/>
      <c r="F7" s="45"/>
    </row>
    <row r="8" spans="2:10" x14ac:dyDescent="0.3">
      <c r="B8" s="44" t="s">
        <v>68</v>
      </c>
      <c r="C8" s="89">
        <v>120000</v>
      </c>
      <c r="E8" s="44"/>
      <c r="F8" s="45"/>
    </row>
    <row r="9" spans="2:10" x14ac:dyDescent="0.3">
      <c r="B9" s="44" t="s">
        <v>69</v>
      </c>
      <c r="C9" s="89">
        <v>500000</v>
      </c>
      <c r="E9" s="44"/>
      <c r="F9" s="45"/>
    </row>
    <row r="10" spans="2:10" x14ac:dyDescent="0.3">
      <c r="B10" s="47" t="s">
        <v>70</v>
      </c>
      <c r="C10" s="48">
        <f>+SUM(C5:C9)</f>
        <v>64320476.000249997</v>
      </c>
      <c r="D10" s="27"/>
      <c r="E10" s="47"/>
      <c r="F10" s="48"/>
    </row>
    <row r="11" spans="2:10" x14ac:dyDescent="0.3">
      <c r="B11" s="44" t="s">
        <v>71</v>
      </c>
      <c r="C11" s="86">
        <v>-49370805.517265007</v>
      </c>
      <c r="E11" s="44"/>
      <c r="F11" s="45"/>
    </row>
    <row r="12" spans="2:10" x14ac:dyDescent="0.3">
      <c r="B12" s="44" t="s">
        <v>72</v>
      </c>
      <c r="C12" s="90">
        <v>2500000</v>
      </c>
      <c r="E12" s="44"/>
      <c r="F12" s="45"/>
    </row>
    <row r="13" spans="2:10" x14ac:dyDescent="0.3">
      <c r="B13" s="47" t="s">
        <v>73</v>
      </c>
      <c r="C13" s="87">
        <f>+C11+C12</f>
        <v>-46870805.517265007</v>
      </c>
      <c r="E13" s="47"/>
      <c r="F13" s="48"/>
    </row>
    <row r="14" spans="2:10" x14ac:dyDescent="0.3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</row>
    <row r="15" spans="2:10" x14ac:dyDescent="0.3">
      <c r="B15" s="44" t="s">
        <v>75</v>
      </c>
      <c r="C15" s="45">
        <v>-175000</v>
      </c>
      <c r="D15" s="27"/>
      <c r="E15" s="44" t="s">
        <v>75</v>
      </c>
      <c r="F15" s="45">
        <v>-150000</v>
      </c>
      <c r="G15" s="1">
        <f>150*1.025</f>
        <v>153.75</v>
      </c>
    </row>
    <row r="16" spans="2:10" x14ac:dyDescent="0.3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35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35">
      <c r="B21" s="49" t="s">
        <v>81</v>
      </c>
      <c r="C21" s="50">
        <f>+C10+C13+C17+C20</f>
        <v>11052003.037815414</v>
      </c>
      <c r="E21" s="49"/>
      <c r="F21" s="50"/>
    </row>
    <row r="22" spans="2:6" x14ac:dyDescent="0.3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35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35">
      <c r="B33" s="51" t="s">
        <v>93</v>
      </c>
      <c r="C33" s="52">
        <f>+C21+C28+C32</f>
        <v>2384503.0378154144</v>
      </c>
      <c r="E33" s="51"/>
      <c r="F33" s="52"/>
    </row>
    <row r="34" spans="2:7" x14ac:dyDescent="0.3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35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35">
      <c r="B38" s="49" t="s">
        <v>98</v>
      </c>
      <c r="C38" s="50">
        <f>+C33+C37</f>
        <v>1359503.0378154144</v>
      </c>
      <c r="E38" s="28"/>
    </row>
    <row r="39" spans="2:7" x14ac:dyDescent="0.3">
      <c r="B39" s="44" t="s">
        <v>99</v>
      </c>
      <c r="C39" s="45">
        <v>-140133.03999999998</v>
      </c>
      <c r="E39" s="28"/>
    </row>
    <row r="40" spans="2:7" x14ac:dyDescent="0.3">
      <c r="B40" s="44" t="s">
        <v>100</v>
      </c>
      <c r="C40" s="45">
        <v>3543.6200000000003</v>
      </c>
      <c r="E40" s="28"/>
    </row>
    <row r="41" spans="2:7" ht="15" thickBot="1" x14ac:dyDescent="0.35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35">
      <c r="B42" s="49" t="s">
        <v>102</v>
      </c>
      <c r="C42" s="50">
        <f>+C38+C41</f>
        <v>1222913.6178154144</v>
      </c>
      <c r="E42" s="28"/>
    </row>
    <row r="43" spans="2:7" x14ac:dyDescent="0.3">
      <c r="B43" s="44" t="s">
        <v>103</v>
      </c>
      <c r="C43" s="45">
        <v>-130503.97</v>
      </c>
      <c r="E43" s="28"/>
    </row>
    <row r="44" spans="2:7" x14ac:dyDescent="0.3">
      <c r="B44" s="44" t="s">
        <v>104</v>
      </c>
      <c r="C44" s="45">
        <v>0</v>
      </c>
      <c r="E44" s="28"/>
    </row>
    <row r="45" spans="2:7" x14ac:dyDescent="0.3">
      <c r="B45" s="44" t="s">
        <v>105</v>
      </c>
      <c r="C45" s="45">
        <v>0</v>
      </c>
      <c r="E45" s="28"/>
    </row>
    <row r="46" spans="2:7" ht="15" thickBot="1" x14ac:dyDescent="0.35">
      <c r="B46" s="47" t="s">
        <v>106</v>
      </c>
      <c r="C46" s="48">
        <f>SUM(C43:C45)</f>
        <v>-130503.97</v>
      </c>
      <c r="E46" s="28"/>
    </row>
    <row r="47" spans="2:7" ht="15" thickBot="1" x14ac:dyDescent="0.35">
      <c r="B47" s="49" t="s">
        <v>107</v>
      </c>
      <c r="C47" s="50">
        <f>+C46+C42</f>
        <v>1092409.6478154145</v>
      </c>
      <c r="E47" s="28"/>
    </row>
    <row r="48" spans="2:7" ht="15" thickBot="1" x14ac:dyDescent="0.35">
      <c r="B48" s="44" t="s">
        <v>108</v>
      </c>
      <c r="C48" s="45">
        <v>-327722.8943446154</v>
      </c>
      <c r="E48" s="28"/>
    </row>
    <row r="49" spans="2:6" ht="15" thickBot="1" x14ac:dyDescent="0.35">
      <c r="B49" s="49" t="s">
        <v>109</v>
      </c>
      <c r="C49" s="50">
        <f>+C48+C47</f>
        <v>764686.75347079907</v>
      </c>
      <c r="E49" s="28"/>
    </row>
    <row r="50" spans="2:6" x14ac:dyDescent="0.3">
      <c r="B50" s="28"/>
      <c r="E50" s="28"/>
    </row>
    <row r="51" spans="2:6" x14ac:dyDescent="0.3">
      <c r="B51" s="28"/>
      <c r="E51" s="28"/>
    </row>
    <row r="52" spans="2:6" x14ac:dyDescent="0.3">
      <c r="B52" s="28"/>
      <c r="E52" s="28"/>
    </row>
    <row r="53" spans="2:6" x14ac:dyDescent="0.3">
      <c r="B53" s="28"/>
      <c r="E53" s="28"/>
    </row>
    <row r="54" spans="2:6" x14ac:dyDescent="0.3">
      <c r="B54" s="28"/>
      <c r="E54" s="28"/>
    </row>
    <row r="55" spans="2:6" x14ac:dyDescent="0.3">
      <c r="B55" s="28"/>
      <c r="E55" s="28"/>
    </row>
    <row r="56" spans="2:6" x14ac:dyDescent="0.3">
      <c r="B56" s="28"/>
      <c r="E56" s="28"/>
    </row>
    <row r="57" spans="2:6" x14ac:dyDescent="0.3">
      <c r="B57" s="28"/>
      <c r="C57" s="29"/>
      <c r="E57" s="28"/>
      <c r="F57" s="29"/>
    </row>
    <row r="58" spans="2:6" x14ac:dyDescent="0.3">
      <c r="B58" s="28"/>
      <c r="E58" s="28"/>
    </row>
    <row r="59" spans="2:6" x14ac:dyDescent="0.3">
      <c r="B59" s="28"/>
      <c r="E59" s="28"/>
    </row>
    <row r="60" spans="2:6" x14ac:dyDescent="0.3">
      <c r="B60" s="28"/>
      <c r="C60" s="29"/>
      <c r="E60" s="28"/>
      <c r="F60" s="29"/>
    </row>
    <row r="61" spans="2:6" x14ac:dyDescent="0.3">
      <c r="B61" s="28"/>
      <c r="E61" s="28"/>
    </row>
    <row r="62" spans="2:6" x14ac:dyDescent="0.3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showGridLines="0" topLeftCell="A64" zoomScale="93" zoomScaleNormal="93" workbookViewId="0">
      <selection activeCell="H19" sqref="H19"/>
    </sheetView>
  </sheetViews>
  <sheetFormatPr defaultColWidth="8.88671875" defaultRowHeight="14.4" x14ac:dyDescent="0.3"/>
  <cols>
    <col min="1" max="1" width="2.88671875" style="1" customWidth="1"/>
    <col min="2" max="2" width="14.33203125" style="1" customWidth="1"/>
    <col min="3" max="3" width="8.5546875" style="1" bestFit="1" customWidth="1"/>
    <col min="4" max="4" width="12.44140625" style="1" bestFit="1" customWidth="1"/>
    <col min="5" max="5" width="13.5546875" style="1" bestFit="1" customWidth="1"/>
    <col min="6" max="6" width="16.6640625" style="1" bestFit="1" customWidth="1"/>
    <col min="7" max="7" width="14.5546875" style="1" bestFit="1" customWidth="1"/>
    <col min="8" max="8" width="14.6640625" style="1" bestFit="1" customWidth="1"/>
    <col min="9" max="9" width="11.6640625" style="1" bestFit="1" customWidth="1"/>
    <col min="10" max="10" width="14.6640625" style="1" bestFit="1" customWidth="1"/>
    <col min="11" max="11" width="9.6640625" style="1" bestFit="1" customWidth="1"/>
    <col min="12" max="12" width="12.44140625" style="1" bestFit="1" customWidth="1"/>
    <col min="13" max="14" width="13.5546875" style="1" bestFit="1" customWidth="1"/>
    <col min="15" max="16" width="16.6640625" style="1" bestFit="1" customWidth="1"/>
    <col min="17" max="17" width="18.88671875" style="1" bestFit="1" customWidth="1"/>
    <col min="18" max="16384" width="8.88671875" style="1"/>
  </cols>
  <sheetData>
    <row r="1" spans="1:17" ht="15.6" customHeight="1" thickBot="1" x14ac:dyDescent="0.35"/>
    <row r="2" spans="1:17" ht="15" thickBot="1" x14ac:dyDescent="0.35">
      <c r="B2" s="100" t="s">
        <v>162</v>
      </c>
      <c r="C2" s="101"/>
      <c r="D2" s="101"/>
      <c r="E2" s="101"/>
      <c r="F2" s="102"/>
      <c r="H2" s="59"/>
      <c r="J2" s="100" t="s">
        <v>64</v>
      </c>
      <c r="K2" s="101"/>
      <c r="L2" s="101"/>
      <c r="M2" s="101"/>
      <c r="N2" s="101"/>
      <c r="O2" s="101"/>
      <c r="P2" s="101"/>
      <c r="Q2" s="102"/>
    </row>
    <row r="3" spans="1:17" ht="15" thickBot="1" x14ac:dyDescent="0.35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7" x14ac:dyDescent="0.3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>
        <f>SUM(_xlfn.ANCHORARRAY(G4))</f>
        <v>140</v>
      </c>
      <c r="J4" s="78" t="s">
        <v>0</v>
      </c>
      <c r="K4" s="64" t="s">
        <v>115</v>
      </c>
      <c r="L4" s="65">
        <v>48000</v>
      </c>
      <c r="M4" s="66">
        <v>0.93</v>
      </c>
      <c r="N4" s="66"/>
      <c r="O4" s="64"/>
      <c r="P4" s="67">
        <v>0.65100000000000002</v>
      </c>
      <c r="Q4" s="74" t="s">
        <v>157</v>
      </c>
    </row>
    <row r="5" spans="1:17" x14ac:dyDescent="0.3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P5" s="61">
        <v>2.8</v>
      </c>
      <c r="Q5" s="75" t="s">
        <v>157</v>
      </c>
    </row>
    <row r="6" spans="1:17" x14ac:dyDescent="0.3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P6" s="61">
        <v>1.68</v>
      </c>
      <c r="Q6" s="75" t="s">
        <v>157</v>
      </c>
    </row>
    <row r="7" spans="1:17" x14ac:dyDescent="0.3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P7" s="61">
        <v>2.8</v>
      </c>
      <c r="Q7" s="75" t="s">
        <v>157</v>
      </c>
    </row>
    <row r="8" spans="1:17" x14ac:dyDescent="0.3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P8" s="61">
        <v>2.0340909090909087</v>
      </c>
      <c r="Q8" s="75" t="s">
        <v>157</v>
      </c>
    </row>
    <row r="9" spans="1:17" x14ac:dyDescent="0.3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P9" s="61">
        <v>3.08</v>
      </c>
      <c r="Q9" s="75" t="s">
        <v>157</v>
      </c>
    </row>
    <row r="10" spans="1:17" x14ac:dyDescent="0.3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P10" s="61">
        <v>3.234</v>
      </c>
      <c r="Q10" s="75" t="s">
        <v>157</v>
      </c>
    </row>
    <row r="11" spans="1:17" x14ac:dyDescent="0.3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P11" s="61">
        <v>1.8549999999999998</v>
      </c>
      <c r="Q11" s="75" t="s">
        <v>157</v>
      </c>
    </row>
    <row r="12" spans="1:17" x14ac:dyDescent="0.3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</row>
    <row r="13" spans="1:17" x14ac:dyDescent="0.3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</row>
    <row r="14" spans="1:17" x14ac:dyDescent="0.3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</row>
    <row r="15" spans="1:17" x14ac:dyDescent="0.3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</row>
    <row r="16" spans="1:17" x14ac:dyDescent="0.3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</row>
    <row r="17" spans="2:17" ht="15" thickBot="1" x14ac:dyDescent="0.35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</row>
    <row r="18" spans="2:17" x14ac:dyDescent="0.3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</row>
    <row r="19" spans="2:17" x14ac:dyDescent="0.3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</row>
    <row r="20" spans="2:17" x14ac:dyDescent="0.3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</row>
    <row r="21" spans="2:17" x14ac:dyDescent="0.3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</row>
    <row r="22" spans="2:17" ht="15" thickBot="1" x14ac:dyDescent="0.35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</row>
    <row r="23" spans="2:17" x14ac:dyDescent="0.3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</row>
    <row r="24" spans="2:17" x14ac:dyDescent="0.3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</row>
    <row r="25" spans="2:17" x14ac:dyDescent="0.3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</row>
    <row r="26" spans="2:17" x14ac:dyDescent="0.3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</row>
    <row r="27" spans="2:17" x14ac:dyDescent="0.3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N27" s="38">
        <v>3.1455040077726499</v>
      </c>
      <c r="O27" s="61">
        <v>2.1592931114889486</v>
      </c>
      <c r="P27" s="38"/>
      <c r="Q27" s="62"/>
    </row>
    <row r="28" spans="2:17" x14ac:dyDescent="0.3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N28" s="38">
        <v>3.2309226464791676</v>
      </c>
      <c r="O28" s="61">
        <v>2.2976852023348089</v>
      </c>
      <c r="P28" s="38"/>
      <c r="Q28" s="62"/>
    </row>
    <row r="29" spans="2:17" x14ac:dyDescent="0.3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</row>
    <row r="30" spans="2:17" x14ac:dyDescent="0.3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</row>
    <row r="31" spans="2:17" x14ac:dyDescent="0.3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</row>
    <row r="32" spans="2:17" x14ac:dyDescent="0.3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</row>
    <row r="33" spans="2:17" x14ac:dyDescent="0.3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</row>
    <row r="34" spans="2:17" x14ac:dyDescent="0.3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</row>
    <row r="35" spans="2:17" x14ac:dyDescent="0.3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</row>
    <row r="36" spans="2:17" x14ac:dyDescent="0.3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</row>
    <row r="37" spans="2:17" x14ac:dyDescent="0.3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</row>
    <row r="38" spans="2:17" x14ac:dyDescent="0.3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</row>
    <row r="39" spans="2:17" x14ac:dyDescent="0.3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</row>
    <row r="40" spans="2:17" x14ac:dyDescent="0.3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N40" s="38">
        <v>1.0577817766055582</v>
      </c>
      <c r="O40" s="61">
        <v>0.75997644847791901</v>
      </c>
      <c r="P40" s="38"/>
      <c r="Q40" s="62"/>
    </row>
    <row r="41" spans="2:17" x14ac:dyDescent="0.3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N41" s="38">
        <v>1.3885714285714286</v>
      </c>
      <c r="O41" s="61">
        <v>1.1206985714285713</v>
      </c>
      <c r="P41" s="38"/>
      <c r="Q41" s="62"/>
    </row>
    <row r="42" spans="2:17" x14ac:dyDescent="0.3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N42" s="38">
        <v>1.2710189203018307</v>
      </c>
      <c r="O42" s="61">
        <v>0.99127780878556027</v>
      </c>
      <c r="P42" s="38"/>
      <c r="Q42" s="62"/>
    </row>
    <row r="43" spans="2:17" x14ac:dyDescent="0.3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N43" s="38">
        <v>1.2715834980237153</v>
      </c>
      <c r="O43" s="61">
        <v>0.96538828063241089</v>
      </c>
      <c r="P43" s="38"/>
      <c r="Q43" s="62"/>
    </row>
    <row r="44" spans="2:17" x14ac:dyDescent="0.3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</row>
    <row r="45" spans="2:17" x14ac:dyDescent="0.3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</row>
    <row r="46" spans="2:17" x14ac:dyDescent="0.3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</row>
    <row r="47" spans="2:17" x14ac:dyDescent="0.3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</row>
    <row r="48" spans="2:17" x14ac:dyDescent="0.3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</row>
    <row r="49" spans="2:17" x14ac:dyDescent="0.3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N49" s="38">
        <v>1.6654747185837797</v>
      </c>
      <c r="O49" s="61">
        <v>1.3105806561670159</v>
      </c>
      <c r="P49" s="38"/>
      <c r="Q49" s="62"/>
    </row>
    <row r="50" spans="2:17" x14ac:dyDescent="0.3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N50" s="38">
        <v>1.5856043557168784</v>
      </c>
      <c r="O50" s="61">
        <v>1.1837239694062742</v>
      </c>
      <c r="P50" s="38"/>
      <c r="Q50" s="62"/>
    </row>
    <row r="51" spans="2:17" x14ac:dyDescent="0.3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N51" s="38">
        <v>1.7306324058919802</v>
      </c>
      <c r="O51" s="61">
        <v>1.2825347995090015</v>
      </c>
      <c r="P51" s="38"/>
      <c r="Q51" s="62"/>
    </row>
    <row r="52" spans="2:17" x14ac:dyDescent="0.3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</row>
    <row r="53" spans="2:17" x14ac:dyDescent="0.3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</row>
    <row r="54" spans="2:17" x14ac:dyDescent="0.3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</row>
    <row r="55" spans="2:17" x14ac:dyDescent="0.3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</row>
    <row r="56" spans="2:17" x14ac:dyDescent="0.3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</row>
    <row r="57" spans="2:17" x14ac:dyDescent="0.3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</row>
    <row r="58" spans="2:17" x14ac:dyDescent="0.3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</row>
    <row r="59" spans="2:17" x14ac:dyDescent="0.3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</row>
    <row r="60" spans="2:17" x14ac:dyDescent="0.3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</row>
    <row r="61" spans="2:17" x14ac:dyDescent="0.3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</row>
    <row r="62" spans="2:17" x14ac:dyDescent="0.3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</row>
    <row r="63" spans="2:17" x14ac:dyDescent="0.3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</row>
    <row r="64" spans="2:17" x14ac:dyDescent="0.3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</row>
    <row r="65" spans="2:17" x14ac:dyDescent="0.3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35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</row>
    <row r="70" spans="2:17" x14ac:dyDescent="0.3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</row>
    <row r="71" spans="2:17" x14ac:dyDescent="0.3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-14423853.505534992</v>
      </c>
    </row>
    <row r="76" spans="2:17" x14ac:dyDescent="0.3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>
        <f>SUM(G2:G76)</f>
        <v>46870805.517265007</v>
      </c>
      <c r="I76" s="11"/>
      <c r="P76"/>
      <c r="Q76"/>
    </row>
    <row r="77" spans="2:17" x14ac:dyDescent="0.3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>
        <f>H76-G78+G79-G77</f>
        <v>46918237.027265005</v>
      </c>
      <c r="I77" s="11"/>
      <c r="P77"/>
      <c r="Q77"/>
    </row>
    <row r="78" spans="2:17" x14ac:dyDescent="0.3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35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">
      <c r="D80" s="1" t="s">
        <v>192</v>
      </c>
      <c r="E80" s="1" t="s">
        <v>193</v>
      </c>
      <c r="G80" s="2"/>
      <c r="H80" s="2"/>
    </row>
    <row r="81" spans="2:8" x14ac:dyDescent="0.3">
      <c r="B81" s="1" t="s">
        <v>152</v>
      </c>
    </row>
    <row r="82" spans="2:8" x14ac:dyDescent="0.3">
      <c r="B82" s="1" t="s">
        <v>153</v>
      </c>
      <c r="H82" s="2"/>
    </row>
    <row r="83" spans="2:8" x14ac:dyDescent="0.3">
      <c r="B83" s="1" t="s">
        <v>155</v>
      </c>
      <c r="H83" s="2"/>
    </row>
    <row r="1048576" spans="16384:16384" x14ac:dyDescent="0.3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B2:H67"/>
  <sheetViews>
    <sheetView topLeftCell="A15" workbookViewId="0">
      <selection activeCell="B17" sqref="B17:G21"/>
    </sheetView>
  </sheetViews>
  <sheetFormatPr defaultRowHeight="14.4" x14ac:dyDescent="0.3"/>
  <cols>
    <col min="2" max="2" width="18.6640625" bestFit="1" customWidth="1"/>
    <col min="3" max="3" width="10" customWidth="1"/>
    <col min="4" max="5" width="19.5546875" bestFit="1" customWidth="1"/>
    <col min="6" max="6" width="16.44140625" bestFit="1" customWidth="1"/>
    <col min="7" max="7" width="8.44140625" bestFit="1" customWidth="1"/>
    <col min="8" max="8" width="38.5546875" bestFit="1" customWidth="1"/>
  </cols>
  <sheetData>
    <row r="2" spans="2:8" x14ac:dyDescent="0.3">
      <c r="B2" t="s">
        <v>110</v>
      </c>
      <c r="C2" t="s">
        <v>124</v>
      </c>
      <c r="D2" t="s">
        <v>195</v>
      </c>
      <c r="E2" t="s">
        <v>196</v>
      </c>
      <c r="F2" t="s">
        <v>197</v>
      </c>
      <c r="G2" t="s">
        <v>203</v>
      </c>
      <c r="H2" t="s">
        <v>198</v>
      </c>
    </row>
    <row r="3" spans="2:8" x14ac:dyDescent="0.3">
      <c r="B3" t="str">
        <f>Ricavi!J4</f>
        <v>MP1</v>
      </c>
      <c r="C3" t="str">
        <f>Ricavi!K4</f>
        <v>MP</v>
      </c>
      <c r="D3">
        <f>Ricavi!L4</f>
        <v>48000</v>
      </c>
      <c r="E3">
        <f>Ricavi!M4</f>
        <v>0.93</v>
      </c>
      <c r="F3">
        <f t="shared" ref="F3:F34" si="0">D3*E3</f>
        <v>44640</v>
      </c>
    </row>
    <row r="4" spans="2:8" x14ac:dyDescent="0.3">
      <c r="B4" t="str">
        <f>Ricavi!J5</f>
        <v>MP2</v>
      </c>
      <c r="C4" t="str">
        <f>Ricavi!K5</f>
        <v>MP</v>
      </c>
      <c r="D4">
        <f>Ricavi!L5</f>
        <v>700</v>
      </c>
      <c r="E4">
        <f>Ricavi!M5</f>
        <v>4</v>
      </c>
      <c r="F4">
        <f t="shared" si="0"/>
        <v>2800</v>
      </c>
    </row>
    <row r="5" spans="2:8" x14ac:dyDescent="0.3">
      <c r="B5" t="str">
        <f>Ricavi!J6</f>
        <v>MP3</v>
      </c>
      <c r="C5" t="str">
        <f>Ricavi!K6</f>
        <v>MP</v>
      </c>
      <c r="D5">
        <f>Ricavi!L6</f>
        <v>1100</v>
      </c>
      <c r="E5">
        <f>Ricavi!M6</f>
        <v>2.4</v>
      </c>
      <c r="F5">
        <f t="shared" si="0"/>
        <v>2640</v>
      </c>
    </row>
    <row r="6" spans="2:8" x14ac:dyDescent="0.3">
      <c r="B6" t="str">
        <f>Ricavi!J7</f>
        <v>MP4</v>
      </c>
      <c r="C6" t="str">
        <f>Ricavi!K7</f>
        <v>MP</v>
      </c>
      <c r="D6">
        <f>Ricavi!L7</f>
        <v>125</v>
      </c>
      <c r="E6">
        <f>Ricavi!M7</f>
        <v>4</v>
      </c>
      <c r="F6">
        <f t="shared" si="0"/>
        <v>500</v>
      </c>
    </row>
    <row r="7" spans="2:8" x14ac:dyDescent="0.3">
      <c r="B7" t="str">
        <f>Ricavi!J8</f>
        <v>MP5</v>
      </c>
      <c r="C7" t="str">
        <f>Ricavi!K8</f>
        <v>MP</v>
      </c>
      <c r="D7">
        <f>Ricavi!L8</f>
        <v>1925</v>
      </c>
      <c r="E7">
        <f>Ricavi!M8</f>
        <v>2.9058441558441559</v>
      </c>
      <c r="F7">
        <f t="shared" si="0"/>
        <v>5593.75</v>
      </c>
    </row>
    <row r="8" spans="2:8" x14ac:dyDescent="0.3">
      <c r="B8" t="str">
        <f>Ricavi!J9</f>
        <v>MP6</v>
      </c>
      <c r="C8" t="str">
        <f>Ricavi!K9</f>
        <v>MP</v>
      </c>
      <c r="D8">
        <f>Ricavi!L9</f>
        <v>125</v>
      </c>
      <c r="E8">
        <f>Ricavi!M9</f>
        <v>4.4000000000000004</v>
      </c>
      <c r="F8">
        <f t="shared" si="0"/>
        <v>550</v>
      </c>
    </row>
    <row r="9" spans="2:8" x14ac:dyDescent="0.3">
      <c r="B9" t="str">
        <f>Ricavi!J10</f>
        <v>MP7</v>
      </c>
      <c r="C9" t="str">
        <f>Ricavi!K10</f>
        <v>MP</v>
      </c>
      <c r="D9">
        <f>Ricavi!L10</f>
        <v>2000</v>
      </c>
      <c r="E9">
        <f>Ricavi!M10</f>
        <v>4.62</v>
      </c>
      <c r="F9">
        <f t="shared" si="0"/>
        <v>9240</v>
      </c>
    </row>
    <row r="10" spans="2:8" x14ac:dyDescent="0.3">
      <c r="B10" t="str">
        <f>Ricavi!J11</f>
        <v>MP8</v>
      </c>
      <c r="C10" t="str">
        <f>Ricavi!K11</f>
        <v>MP</v>
      </c>
      <c r="D10">
        <f>Ricavi!L11</f>
        <v>1000</v>
      </c>
      <c r="E10">
        <f>Ricavi!M11</f>
        <v>2.65</v>
      </c>
      <c r="F10">
        <f t="shared" si="0"/>
        <v>2650</v>
      </c>
    </row>
    <row r="11" spans="2:8" x14ac:dyDescent="0.3">
      <c r="B11" t="str">
        <f>Ricavi!J12</f>
        <v>MP9</v>
      </c>
      <c r="C11" t="str">
        <f>Ricavi!K12</f>
        <v>MP</v>
      </c>
      <c r="D11">
        <f>Ricavi!L12</f>
        <v>7000</v>
      </c>
      <c r="E11">
        <f>Ricavi!M12</f>
        <v>0.19</v>
      </c>
      <c r="F11">
        <f t="shared" si="0"/>
        <v>1330</v>
      </c>
    </row>
    <row r="12" spans="2:8" x14ac:dyDescent="0.3">
      <c r="B12" t="str">
        <f>Ricavi!J13</f>
        <v>MP10</v>
      </c>
      <c r="C12" t="str">
        <f>Ricavi!K13</f>
        <v>MP</v>
      </c>
      <c r="D12">
        <f>Ricavi!L13</f>
        <v>34866.400000000001</v>
      </c>
      <c r="E12">
        <f>Ricavi!M13</f>
        <v>0.50710643771654074</v>
      </c>
      <c r="F12">
        <f t="shared" si="0"/>
        <v>17680.975899999998</v>
      </c>
    </row>
    <row r="13" spans="2:8" x14ac:dyDescent="0.3">
      <c r="B13" t="str">
        <f>Ricavi!J14</f>
        <v>MP11</v>
      </c>
      <c r="C13" t="str">
        <f>Ricavi!K14</f>
        <v>MP</v>
      </c>
      <c r="D13">
        <f>Ricavi!L14</f>
        <v>14037.12</v>
      </c>
      <c r="E13">
        <f>Ricavi!M14</f>
        <v>7.4104528564263887</v>
      </c>
      <c r="F13">
        <f t="shared" si="0"/>
        <v>104021.416</v>
      </c>
    </row>
    <row r="14" spans="2:8" x14ac:dyDescent="0.3">
      <c r="B14" t="str">
        <f>Ricavi!J15</f>
        <v>MP12</v>
      </c>
      <c r="C14" t="str">
        <f>Ricavi!K15</f>
        <v>MP</v>
      </c>
      <c r="D14">
        <f>Ricavi!L15</f>
        <v>1904</v>
      </c>
      <c r="E14">
        <f>Ricavi!M15</f>
        <v>1.4275735294117646</v>
      </c>
      <c r="F14">
        <f t="shared" si="0"/>
        <v>2718.1</v>
      </c>
    </row>
    <row r="15" spans="2:8" x14ac:dyDescent="0.3">
      <c r="B15" t="str">
        <f>Ricavi!J16</f>
        <v>MP13</v>
      </c>
      <c r="C15" t="str">
        <f>Ricavi!K16</f>
        <v>MP</v>
      </c>
      <c r="D15">
        <f>Ricavi!L16</f>
        <v>150</v>
      </c>
      <c r="E15">
        <f>Ricavi!M16</f>
        <v>13</v>
      </c>
      <c r="F15">
        <f t="shared" si="0"/>
        <v>1950</v>
      </c>
    </row>
    <row r="16" spans="2:8" x14ac:dyDescent="0.3">
      <c r="B16" t="str">
        <f>Ricavi!J17</f>
        <v>MP14</v>
      </c>
      <c r="C16" t="str">
        <f>Ricavi!K17</f>
        <v>MP</v>
      </c>
      <c r="D16">
        <f>Ricavi!L17</f>
        <v>20</v>
      </c>
      <c r="E16">
        <f>Ricavi!M17</f>
        <v>13.5</v>
      </c>
      <c r="F16">
        <f t="shared" si="0"/>
        <v>270</v>
      </c>
    </row>
    <row r="17" spans="2:8" x14ac:dyDescent="0.3">
      <c r="B17" t="str">
        <f>Ricavi!J18</f>
        <v>PCL1</v>
      </c>
      <c r="C17" t="str">
        <f>Ricavi!K18</f>
        <v>PCL</v>
      </c>
      <c r="D17">
        <f>Ricavi!L18</f>
        <v>2160885</v>
      </c>
      <c r="E17">
        <f>Ricavi!M18</f>
        <v>0.11065878100870709</v>
      </c>
      <c r="F17">
        <f t="shared" si="0"/>
        <v>239120.90000000002</v>
      </c>
    </row>
    <row r="18" spans="2:8" x14ac:dyDescent="0.3">
      <c r="B18" t="str">
        <f>Ricavi!J19</f>
        <v>PCL2</v>
      </c>
      <c r="C18" t="str">
        <f>Ricavi!K19</f>
        <v>PCL</v>
      </c>
      <c r="D18">
        <f>Ricavi!L19</f>
        <v>168325</v>
      </c>
      <c r="E18">
        <f>Ricavi!M19</f>
        <v>0.63902212980840634</v>
      </c>
      <c r="F18">
        <f t="shared" si="0"/>
        <v>107563.4</v>
      </c>
    </row>
    <row r="19" spans="2:8" x14ac:dyDescent="0.3">
      <c r="B19" t="str">
        <f>Ricavi!J20</f>
        <v>PCL3</v>
      </c>
      <c r="C19" t="str">
        <f>Ricavi!K20</f>
        <v>PCL</v>
      </c>
      <c r="D19">
        <f>Ricavi!L20</f>
        <v>495475</v>
      </c>
      <c r="E19">
        <f>Ricavi!M20</f>
        <v>1.6503165205106214</v>
      </c>
      <c r="F19">
        <f t="shared" si="0"/>
        <v>817690.5780000001</v>
      </c>
    </row>
    <row r="20" spans="2:8" x14ac:dyDescent="0.3">
      <c r="B20" t="str">
        <f>Ricavi!J21</f>
        <v>PCL4</v>
      </c>
      <c r="C20" t="str">
        <f>Ricavi!K21</f>
        <v>PCL</v>
      </c>
      <c r="D20">
        <f>Ricavi!L21</f>
        <v>489058</v>
      </c>
      <c r="E20">
        <f>Ricavi!M21</f>
        <v>2.6814489976240035</v>
      </c>
      <c r="F20">
        <f t="shared" si="0"/>
        <v>1311384.0838799998</v>
      </c>
    </row>
    <row r="21" spans="2:8" x14ac:dyDescent="0.3">
      <c r="B21" t="str">
        <f>Ricavi!J22</f>
        <v>PCL5</v>
      </c>
      <c r="C21" t="str">
        <f>Ricavi!K22</f>
        <v>PCL</v>
      </c>
      <c r="D21">
        <f>Ricavi!L22</f>
        <v>6160</v>
      </c>
      <c r="E21">
        <f>Ricavi!M22</f>
        <v>2.25</v>
      </c>
      <c r="F21">
        <f t="shared" si="0"/>
        <v>13860</v>
      </c>
    </row>
    <row r="22" spans="2:8" x14ac:dyDescent="0.3">
      <c r="B22" t="str">
        <f>Ricavi!J23</f>
        <v>PF P1</v>
      </c>
      <c r="C22" t="str">
        <f>Ricavi!K23</f>
        <v>PF</v>
      </c>
      <c r="D22">
        <f>Ricavi!L23</f>
        <v>1719564</v>
      </c>
      <c r="E22">
        <f>Ricavi!M23</f>
        <v>3.2527355771579307</v>
      </c>
      <c r="F22">
        <f t="shared" si="0"/>
        <v>5593287</v>
      </c>
      <c r="G22" t="s">
        <v>204</v>
      </c>
      <c r="H22" t="s">
        <v>207</v>
      </c>
    </row>
    <row r="23" spans="2:8" x14ac:dyDescent="0.3">
      <c r="B23" t="str">
        <f>Ricavi!J24</f>
        <v>PF P2</v>
      </c>
      <c r="C23" t="str">
        <f>Ricavi!K24</f>
        <v>PF</v>
      </c>
      <c r="D23">
        <f>Ricavi!L24</f>
        <v>292499</v>
      </c>
      <c r="E23">
        <f>Ricavi!M24</f>
        <v>3.2730881131217542</v>
      </c>
      <c r="F23">
        <f t="shared" si="0"/>
        <v>957375</v>
      </c>
      <c r="G23" t="s">
        <v>204</v>
      </c>
    </row>
    <row r="24" spans="2:8" x14ac:dyDescent="0.3">
      <c r="B24" t="str">
        <f>Ricavi!J25</f>
        <v>PF P3</v>
      </c>
      <c r="C24" t="str">
        <f>Ricavi!K25</f>
        <v>PF</v>
      </c>
      <c r="D24">
        <f>Ricavi!L25</f>
        <v>442800</v>
      </c>
      <c r="E24">
        <f>Ricavi!M25</f>
        <v>3.2317332881662151</v>
      </c>
      <c r="F24">
        <f t="shared" si="0"/>
        <v>1431011.5</v>
      </c>
      <c r="G24" t="s">
        <v>204</v>
      </c>
    </row>
    <row r="25" spans="2:8" x14ac:dyDescent="0.3">
      <c r="B25" t="str">
        <f>Ricavi!J26</f>
        <v>PF P4</v>
      </c>
      <c r="C25" t="str">
        <f>Ricavi!K26</f>
        <v>PF</v>
      </c>
      <c r="D25">
        <f>Ricavi!L26</f>
        <v>8070474</v>
      </c>
      <c r="E25">
        <f>Ricavi!M26</f>
        <v>3.1339358772483501</v>
      </c>
      <c r="F25">
        <f t="shared" si="0"/>
        <v>25292348.015000001</v>
      </c>
      <c r="G25" t="s">
        <v>204</v>
      </c>
    </row>
    <row r="26" spans="2:8" x14ac:dyDescent="0.3">
      <c r="B26" t="str">
        <f>Ricavi!J27</f>
        <v>PF P5</v>
      </c>
      <c r="C26" t="str">
        <f>Ricavi!K27</f>
        <v>PF</v>
      </c>
      <c r="D26">
        <f>Ricavi!L27</f>
        <v>205850</v>
      </c>
      <c r="E26">
        <f>Ricavi!M27</f>
        <v>0</v>
      </c>
      <c r="F26">
        <f t="shared" si="0"/>
        <v>0</v>
      </c>
      <c r="G26" t="s">
        <v>204</v>
      </c>
    </row>
    <row r="27" spans="2:8" x14ac:dyDescent="0.3">
      <c r="B27" t="str">
        <f>Ricavi!J28</f>
        <v>PF P6</v>
      </c>
      <c r="C27" t="str">
        <f>Ricavi!K28</f>
        <v>PF</v>
      </c>
      <c r="D27">
        <f>Ricavi!L28</f>
        <v>3233156</v>
      </c>
      <c r="E27">
        <f>Ricavi!M28</f>
        <v>0</v>
      </c>
      <c r="F27">
        <f t="shared" si="0"/>
        <v>0</v>
      </c>
      <c r="G27" t="s">
        <v>204</v>
      </c>
    </row>
    <row r="28" spans="2:8" x14ac:dyDescent="0.3">
      <c r="B28" t="str">
        <f>Ricavi!J29</f>
        <v>PF P7</v>
      </c>
      <c r="C28" t="str">
        <f>Ricavi!K29</f>
        <v>PF</v>
      </c>
      <c r="D28">
        <f>Ricavi!L29</f>
        <v>660340</v>
      </c>
      <c r="E28">
        <f>Ricavi!M29</f>
        <v>0.96042054093345852</v>
      </c>
      <c r="F28">
        <f t="shared" si="0"/>
        <v>634204.1</v>
      </c>
      <c r="G28" t="s">
        <v>204</v>
      </c>
    </row>
    <row r="29" spans="2:8" x14ac:dyDescent="0.3">
      <c r="B29" t="str">
        <f>Ricavi!J30</f>
        <v>PF V1</v>
      </c>
      <c r="C29" t="str">
        <f>Ricavi!K30</f>
        <v>PF</v>
      </c>
      <c r="D29">
        <f>Ricavi!L30</f>
        <v>509668</v>
      </c>
      <c r="E29">
        <f>Ricavi!M30</f>
        <v>1.4659810896505177</v>
      </c>
      <c r="F29">
        <f t="shared" si="0"/>
        <v>747163.65</v>
      </c>
      <c r="G29" t="s">
        <v>205</v>
      </c>
      <c r="H29" t="s">
        <v>208</v>
      </c>
    </row>
    <row r="30" spans="2:8" x14ac:dyDescent="0.3">
      <c r="B30" t="str">
        <f>Ricavi!J31</f>
        <v>PF V2</v>
      </c>
      <c r="C30" t="str">
        <f>Ricavi!K31</f>
        <v>PF</v>
      </c>
      <c r="D30">
        <f>Ricavi!L31</f>
        <v>2539984</v>
      </c>
      <c r="E30">
        <f>Ricavi!M31</f>
        <v>1.5574062198816996</v>
      </c>
      <c r="F30">
        <f t="shared" si="0"/>
        <v>3955786.879999999</v>
      </c>
      <c r="G30" t="s">
        <v>205</v>
      </c>
    </row>
    <row r="31" spans="2:8" x14ac:dyDescent="0.3">
      <c r="B31" t="str">
        <f>Ricavi!J32</f>
        <v>PF V3</v>
      </c>
      <c r="C31" t="str">
        <f>Ricavi!K32</f>
        <v>PF</v>
      </c>
      <c r="D31">
        <f>Ricavi!L32</f>
        <v>879638</v>
      </c>
      <c r="E31">
        <f>Ricavi!M32</f>
        <v>1.5255310138943521</v>
      </c>
      <c r="F31">
        <f t="shared" si="0"/>
        <v>1341915.05</v>
      </c>
      <c r="G31" t="s">
        <v>205</v>
      </c>
    </row>
    <row r="32" spans="2:8" x14ac:dyDescent="0.3">
      <c r="B32" t="str">
        <f>Ricavi!J33</f>
        <v>PF V4</v>
      </c>
      <c r="C32" t="str">
        <f>Ricavi!K33</f>
        <v>PF</v>
      </c>
      <c r="D32">
        <f>Ricavi!L33</f>
        <v>579689</v>
      </c>
      <c r="E32">
        <f>Ricavi!M33</f>
        <v>1.5588271124689272</v>
      </c>
      <c r="F32">
        <f t="shared" si="0"/>
        <v>903634.92999999993</v>
      </c>
      <c r="G32" t="s">
        <v>205</v>
      </c>
    </row>
    <row r="33" spans="2:8" x14ac:dyDescent="0.3">
      <c r="B33" t="str">
        <f>Ricavi!J34</f>
        <v>PF V5</v>
      </c>
      <c r="C33" t="str">
        <f>Ricavi!K34</f>
        <v>PF</v>
      </c>
      <c r="D33">
        <f>Ricavi!L34</f>
        <v>448105</v>
      </c>
      <c r="E33">
        <f>Ricavi!M34</f>
        <v>1.4237468896798742</v>
      </c>
      <c r="F33">
        <f t="shared" si="0"/>
        <v>637988.1</v>
      </c>
      <c r="G33" t="s">
        <v>205</v>
      </c>
    </row>
    <row r="34" spans="2:8" x14ac:dyDescent="0.3">
      <c r="B34" t="str">
        <f>Ricavi!J35</f>
        <v>PF V6</v>
      </c>
      <c r="C34" t="str">
        <f>Ricavi!K35</f>
        <v>PF</v>
      </c>
      <c r="D34">
        <f>Ricavi!L35</f>
        <v>130100</v>
      </c>
      <c r="E34">
        <f>Ricavi!M35</f>
        <v>1.9231706379707918</v>
      </c>
      <c r="F34">
        <f t="shared" si="0"/>
        <v>250204.5</v>
      </c>
      <c r="G34" t="s">
        <v>205</v>
      </c>
    </row>
    <row r="35" spans="2:8" x14ac:dyDescent="0.3">
      <c r="B35" t="str">
        <f>Ricavi!J36</f>
        <v>PF V7</v>
      </c>
      <c r="C35" t="str">
        <f>Ricavi!K36</f>
        <v>PF</v>
      </c>
      <c r="D35">
        <f>Ricavi!L36</f>
        <v>13340</v>
      </c>
      <c r="E35">
        <f>Ricavi!M36</f>
        <v>1.1880509745127437</v>
      </c>
      <c r="F35">
        <f t="shared" ref="F35:F64" si="1">D35*E35</f>
        <v>15848.6</v>
      </c>
      <c r="G35" t="s">
        <v>205</v>
      </c>
    </row>
    <row r="36" spans="2:8" x14ac:dyDescent="0.3">
      <c r="B36" t="str">
        <f>Ricavi!J37</f>
        <v>PF V8</v>
      </c>
      <c r="C36" t="str">
        <f>Ricavi!K37</f>
        <v>PF</v>
      </c>
      <c r="D36">
        <f>Ricavi!L37</f>
        <v>81820</v>
      </c>
      <c r="E36">
        <f>Ricavi!M37</f>
        <v>1.6966731850403327</v>
      </c>
      <c r="F36">
        <f t="shared" si="1"/>
        <v>138821.80000000002</v>
      </c>
      <c r="G36" t="s">
        <v>205</v>
      </c>
    </row>
    <row r="37" spans="2:8" x14ac:dyDescent="0.3">
      <c r="B37" t="str">
        <f>Ricavi!J38</f>
        <v>PF V9</v>
      </c>
      <c r="C37" t="str">
        <f>Ricavi!K38</f>
        <v>PF</v>
      </c>
      <c r="D37">
        <f>Ricavi!L38</f>
        <v>21040</v>
      </c>
      <c r="E37">
        <f>Ricavi!M38</f>
        <v>1.6010133079847908</v>
      </c>
      <c r="F37">
        <f t="shared" si="1"/>
        <v>33685.32</v>
      </c>
      <c r="G37" t="s">
        <v>205</v>
      </c>
    </row>
    <row r="38" spans="2:8" x14ac:dyDescent="0.3">
      <c r="B38" t="str">
        <f>Ricavi!J39</f>
        <v>PF V10</v>
      </c>
      <c r="C38" t="str">
        <f>Ricavi!K39</f>
        <v>PF</v>
      </c>
      <c r="D38">
        <f>Ricavi!L39</f>
        <v>14625</v>
      </c>
      <c r="E38">
        <f>Ricavi!M39</f>
        <v>1.6058974358974358</v>
      </c>
      <c r="F38">
        <f t="shared" si="1"/>
        <v>23486.25</v>
      </c>
      <c r="G38" t="s">
        <v>205</v>
      </c>
    </row>
    <row r="39" spans="2:8" x14ac:dyDescent="0.3">
      <c r="B39" t="str">
        <f>Ricavi!J40</f>
        <v>PF V11</v>
      </c>
      <c r="C39" t="str">
        <f>Ricavi!K40</f>
        <v>PF</v>
      </c>
      <c r="D39">
        <f>Ricavi!L40</f>
        <v>307868</v>
      </c>
      <c r="E39">
        <f>Ricavi!M40</f>
        <v>0</v>
      </c>
      <c r="F39">
        <f t="shared" si="1"/>
        <v>0</v>
      </c>
      <c r="G39" t="s">
        <v>205</v>
      </c>
    </row>
    <row r="40" spans="2:8" x14ac:dyDescent="0.3">
      <c r="B40" t="str">
        <f>Ricavi!J41</f>
        <v>PF V12</v>
      </c>
      <c r="C40" t="str">
        <f>Ricavi!K41</f>
        <v>PF</v>
      </c>
      <c r="D40">
        <f>Ricavi!L41</f>
        <v>7000</v>
      </c>
      <c r="E40">
        <f>Ricavi!M41</f>
        <v>0</v>
      </c>
      <c r="F40">
        <f t="shared" si="1"/>
        <v>0</v>
      </c>
      <c r="G40" t="s">
        <v>205</v>
      </c>
    </row>
    <row r="41" spans="2:8" x14ac:dyDescent="0.3">
      <c r="B41" t="str">
        <f>Ricavi!J42</f>
        <v>PF V13</v>
      </c>
      <c r="C41" t="str">
        <f>Ricavi!K42</f>
        <v>PF</v>
      </c>
      <c r="D41">
        <f>Ricavi!L42</f>
        <v>850145</v>
      </c>
      <c r="E41">
        <f>Ricavi!M42</f>
        <v>0</v>
      </c>
      <c r="F41">
        <f t="shared" si="1"/>
        <v>0</v>
      </c>
      <c r="G41" t="s">
        <v>205</v>
      </c>
    </row>
    <row r="42" spans="2:8" x14ac:dyDescent="0.3">
      <c r="B42" t="str">
        <f>Ricavi!J43</f>
        <v>PF V14</v>
      </c>
      <c r="C42" t="str">
        <f>Ricavi!K43</f>
        <v>PF</v>
      </c>
      <c r="D42">
        <f>Ricavi!L43</f>
        <v>40480</v>
      </c>
      <c r="E42">
        <f>Ricavi!M43</f>
        <v>0</v>
      </c>
      <c r="F42">
        <f t="shared" si="1"/>
        <v>0</v>
      </c>
      <c r="G42" t="s">
        <v>205</v>
      </c>
    </row>
    <row r="43" spans="2:8" x14ac:dyDescent="0.3">
      <c r="B43" t="str">
        <f>Ricavi!J44</f>
        <v>PF V15</v>
      </c>
      <c r="C43" t="str">
        <f>Ricavi!K44</f>
        <v>PF</v>
      </c>
      <c r="D43">
        <f>Ricavi!L44</f>
        <v>30000</v>
      </c>
      <c r="E43">
        <f>Ricavi!M44</f>
        <v>2.1413333333333333</v>
      </c>
      <c r="F43">
        <f t="shared" si="1"/>
        <v>64240</v>
      </c>
      <c r="G43" t="s">
        <v>205</v>
      </c>
    </row>
    <row r="44" spans="2:8" x14ac:dyDescent="0.3">
      <c r="B44" t="str">
        <f>Ricavi!J45</f>
        <v>PF V16</v>
      </c>
      <c r="C44" t="str">
        <f>Ricavi!K45</f>
        <v>PF</v>
      </c>
      <c r="D44">
        <f>Ricavi!L45</f>
        <v>16500</v>
      </c>
      <c r="E44">
        <f>Ricavi!M45</f>
        <v>1.2007575757575757</v>
      </c>
      <c r="F44">
        <f t="shared" si="1"/>
        <v>19812.5</v>
      </c>
      <c r="G44" t="s">
        <v>205</v>
      </c>
    </row>
    <row r="45" spans="2:8" x14ac:dyDescent="0.3">
      <c r="B45" t="str">
        <f>Ricavi!J46</f>
        <v>PF A1</v>
      </c>
      <c r="C45" t="str">
        <f>Ricavi!K46</f>
        <v>PF</v>
      </c>
      <c r="D45">
        <f>Ricavi!L46</f>
        <v>94290</v>
      </c>
      <c r="E45">
        <f>Ricavi!M46</f>
        <v>1.2885862763813767</v>
      </c>
      <c r="F45">
        <f t="shared" si="1"/>
        <v>121500.8</v>
      </c>
      <c r="G45" t="s">
        <v>206</v>
      </c>
      <c r="H45" t="s">
        <v>209</v>
      </c>
    </row>
    <row r="46" spans="2:8" x14ac:dyDescent="0.3">
      <c r="B46" t="str">
        <f>Ricavi!J47</f>
        <v>PF A2</v>
      </c>
      <c r="C46" t="str">
        <f>Ricavi!K47</f>
        <v>PF</v>
      </c>
      <c r="D46">
        <f>Ricavi!L47</f>
        <v>151620</v>
      </c>
      <c r="E46">
        <f>Ricavi!M47</f>
        <v>1.7877720617332806</v>
      </c>
      <c r="F46">
        <f t="shared" si="1"/>
        <v>271062</v>
      </c>
      <c r="G46" t="s">
        <v>206</v>
      </c>
    </row>
    <row r="47" spans="2:8" x14ac:dyDescent="0.3">
      <c r="B47" t="str">
        <f>Ricavi!J48</f>
        <v>PF A3</v>
      </c>
      <c r="C47" t="str">
        <f>Ricavi!K48</f>
        <v>PF</v>
      </c>
      <c r="D47">
        <f>Ricavi!L48</f>
        <v>411979</v>
      </c>
      <c r="E47">
        <f>Ricavi!M48</f>
        <v>1.8322972695210196</v>
      </c>
      <c r="F47">
        <f t="shared" si="1"/>
        <v>754867.99680000008</v>
      </c>
      <c r="G47" t="s">
        <v>206</v>
      </c>
    </row>
    <row r="48" spans="2:8" x14ac:dyDescent="0.3">
      <c r="B48" t="str">
        <f>Ricavi!J49</f>
        <v>PF A4</v>
      </c>
      <c r="C48" t="str">
        <f>Ricavi!K49</f>
        <v>PF</v>
      </c>
      <c r="D48">
        <f>Ricavi!L49</f>
        <v>1362839</v>
      </c>
      <c r="E48">
        <f>Ricavi!M49</f>
        <v>0</v>
      </c>
      <c r="F48">
        <f t="shared" si="1"/>
        <v>0</v>
      </c>
      <c r="G48" t="s">
        <v>206</v>
      </c>
    </row>
    <row r="49" spans="2:8" x14ac:dyDescent="0.3">
      <c r="B49" t="str">
        <f>Ricavi!J50</f>
        <v>PF A5</v>
      </c>
      <c r="C49" t="str">
        <f>Ricavi!K50</f>
        <v>PF</v>
      </c>
      <c r="D49">
        <f>Ricavi!L50</f>
        <v>96425</v>
      </c>
      <c r="E49">
        <f>Ricavi!M50</f>
        <v>0</v>
      </c>
      <c r="F49">
        <f t="shared" si="1"/>
        <v>0</v>
      </c>
      <c r="G49" t="s">
        <v>206</v>
      </c>
    </row>
    <row r="50" spans="2:8" x14ac:dyDescent="0.3">
      <c r="B50" t="str">
        <f>Ricavi!J51</f>
        <v>PF A6</v>
      </c>
      <c r="C50" t="str">
        <f>Ricavi!K51</f>
        <v>PF</v>
      </c>
      <c r="D50">
        <f>Ricavi!L51</f>
        <v>61100</v>
      </c>
      <c r="E50">
        <f>Ricavi!M51</f>
        <v>0</v>
      </c>
      <c r="F50">
        <f t="shared" si="1"/>
        <v>0</v>
      </c>
      <c r="G50" t="s">
        <v>206</v>
      </c>
    </row>
    <row r="51" spans="2:8" x14ac:dyDescent="0.3">
      <c r="B51" t="str">
        <f>Ricavi!J52</f>
        <v>PF A7</v>
      </c>
      <c r="C51" t="str">
        <f>Ricavi!K52</f>
        <v>PF</v>
      </c>
      <c r="D51">
        <f>Ricavi!L52</f>
        <v>2820458.99</v>
      </c>
      <c r="E51">
        <f>Ricavi!M52</f>
        <v>1.6397767269078427</v>
      </c>
      <c r="F51">
        <f t="shared" si="1"/>
        <v>4624923.0109999999</v>
      </c>
      <c r="G51" t="s">
        <v>206</v>
      </c>
    </row>
    <row r="52" spans="2:8" x14ac:dyDescent="0.3">
      <c r="B52" t="str">
        <f>Ricavi!J53</f>
        <v>PF A8</v>
      </c>
      <c r="C52" t="str">
        <f>Ricavi!K53</f>
        <v>PF</v>
      </c>
      <c r="D52">
        <f>Ricavi!L53</f>
        <v>157263</v>
      </c>
      <c r="E52">
        <f>Ricavi!M53</f>
        <v>1.6271923465786613</v>
      </c>
      <c r="F52">
        <f t="shared" si="1"/>
        <v>255897.15000000002</v>
      </c>
      <c r="G52" t="s">
        <v>206</v>
      </c>
    </row>
    <row r="53" spans="2:8" x14ac:dyDescent="0.3">
      <c r="B53" t="str">
        <f>Ricavi!J54</f>
        <v>PF A9</v>
      </c>
      <c r="C53" t="str">
        <f>Ricavi!K54</f>
        <v>PF</v>
      </c>
      <c r="D53">
        <f>Ricavi!L54</f>
        <v>261930</v>
      </c>
      <c r="E53">
        <f>Ricavi!M54</f>
        <v>1.5522070782270072</v>
      </c>
      <c r="F53">
        <f t="shared" si="1"/>
        <v>406569.6</v>
      </c>
      <c r="G53" t="s">
        <v>206</v>
      </c>
    </row>
    <row r="54" spans="2:8" x14ac:dyDescent="0.3">
      <c r="B54" t="str">
        <f>Ricavi!J55</f>
        <v>PF A10</v>
      </c>
      <c r="C54" t="str">
        <f>Ricavi!K55</f>
        <v>PF</v>
      </c>
      <c r="D54">
        <f>Ricavi!L55</f>
        <v>500680</v>
      </c>
      <c r="E54">
        <f>Ricavi!M55</f>
        <v>1.2455093073420147</v>
      </c>
      <c r="F54">
        <f t="shared" si="1"/>
        <v>623601.6</v>
      </c>
      <c r="G54" t="s">
        <v>206</v>
      </c>
    </row>
    <row r="55" spans="2:8" x14ac:dyDescent="0.3">
      <c r="B55" t="str">
        <f>Ricavi!J56</f>
        <v>PF A11</v>
      </c>
      <c r="C55" t="str">
        <f>Ricavi!K56</f>
        <v>PF</v>
      </c>
      <c r="D55">
        <f>Ricavi!L56</f>
        <v>62569</v>
      </c>
      <c r="E55">
        <f>Ricavi!M56</f>
        <v>1.9325902603525706</v>
      </c>
      <c r="F55">
        <f t="shared" si="1"/>
        <v>120920.23999999999</v>
      </c>
      <c r="G55" t="s">
        <v>206</v>
      </c>
    </row>
    <row r="56" spans="2:8" x14ac:dyDescent="0.3">
      <c r="B56" t="str">
        <f>Ricavi!J57</f>
        <v>PF A12</v>
      </c>
      <c r="C56" t="str">
        <f>Ricavi!K57</f>
        <v>PF</v>
      </c>
      <c r="D56">
        <f>Ricavi!L57</f>
        <v>927765</v>
      </c>
      <c r="E56">
        <f>Ricavi!M57</f>
        <v>2.009165683120187</v>
      </c>
      <c r="F56">
        <f t="shared" si="1"/>
        <v>1864033.6000000003</v>
      </c>
      <c r="G56" t="s">
        <v>206</v>
      </c>
    </row>
    <row r="57" spans="2:8" x14ac:dyDescent="0.3">
      <c r="B57" t="str">
        <f>Ricavi!J58</f>
        <v>PF A13</v>
      </c>
      <c r="C57" t="str">
        <f>Ricavi!K58</f>
        <v>PF</v>
      </c>
      <c r="D57">
        <f>Ricavi!L58</f>
        <v>129425</v>
      </c>
      <c r="E57">
        <f>Ricavi!M58</f>
        <v>1.6307046552057176</v>
      </c>
      <c r="F57">
        <f t="shared" si="1"/>
        <v>211053.95</v>
      </c>
      <c r="G57" t="s">
        <v>206</v>
      </c>
    </row>
    <row r="58" spans="2:8" x14ac:dyDescent="0.3">
      <c r="B58" t="str">
        <f>Ricavi!J59</f>
        <v>PF A14</v>
      </c>
      <c r="C58" t="str">
        <f>Ricavi!K59</f>
        <v>PF</v>
      </c>
      <c r="D58">
        <f>Ricavi!L59</f>
        <v>131955</v>
      </c>
      <c r="E58">
        <f>Ricavi!M59</f>
        <v>1.9791817665113107</v>
      </c>
      <c r="F58">
        <f t="shared" si="1"/>
        <v>261162.93</v>
      </c>
      <c r="G58" t="s">
        <v>206</v>
      </c>
    </row>
    <row r="59" spans="2:8" x14ac:dyDescent="0.3">
      <c r="B59" t="str">
        <f>Ricavi!J60</f>
        <v>PF A15</v>
      </c>
      <c r="C59" t="str">
        <f>Ricavi!K60</f>
        <v>PF</v>
      </c>
      <c r="D59">
        <f>Ricavi!L60</f>
        <v>375075</v>
      </c>
      <c r="E59">
        <f>Ricavi!M60</f>
        <v>1.7865580217289871</v>
      </c>
      <c r="F59">
        <f t="shared" si="1"/>
        <v>670093.24999999988</v>
      </c>
      <c r="G59" t="s">
        <v>206</v>
      </c>
    </row>
    <row r="60" spans="2:8" x14ac:dyDescent="0.3">
      <c r="B60" t="str">
        <f>Ricavi!J61</f>
        <v>PF A16</v>
      </c>
      <c r="C60" t="str">
        <f>Ricavi!K61</f>
        <v>PF</v>
      </c>
      <c r="D60">
        <f>Ricavi!L61</f>
        <v>151110</v>
      </c>
      <c r="E60">
        <f>Ricavi!M61</f>
        <v>1.6128909403745617</v>
      </c>
      <c r="F60">
        <f t="shared" si="1"/>
        <v>243723.95</v>
      </c>
      <c r="G60" t="s">
        <v>206</v>
      </c>
    </row>
    <row r="61" spans="2:8" x14ac:dyDescent="0.3">
      <c r="B61" t="str">
        <f>Ricavi!J62</f>
        <v>PF A17</v>
      </c>
      <c r="C61" t="str">
        <f>Ricavi!K62</f>
        <v>PF</v>
      </c>
      <c r="D61">
        <f>Ricavi!L62</f>
        <v>240225</v>
      </c>
      <c r="E61">
        <f>Ricavi!M62</f>
        <v>1.9365259652409199</v>
      </c>
      <c r="F61">
        <f t="shared" si="1"/>
        <v>465201.95</v>
      </c>
      <c r="G61" t="s">
        <v>206</v>
      </c>
    </row>
    <row r="62" spans="2:8" x14ac:dyDescent="0.3">
      <c r="B62" t="str">
        <f>Ricavi!J63</f>
        <v>PF A18</v>
      </c>
      <c r="C62" t="str">
        <f>Ricavi!K63</f>
        <v>PF</v>
      </c>
      <c r="D62">
        <f>Ricavi!L63</f>
        <v>392880</v>
      </c>
      <c r="E62">
        <f>Ricavi!M63</f>
        <v>1.0338126145387905</v>
      </c>
      <c r="F62">
        <f t="shared" si="1"/>
        <v>406164.3</v>
      </c>
      <c r="G62" t="s">
        <v>206</v>
      </c>
    </row>
    <row r="63" spans="2:8" x14ac:dyDescent="0.3">
      <c r="B63" t="str">
        <f>Ricavi!J64</f>
        <v>PF A19</v>
      </c>
      <c r="C63" t="str">
        <f>Ricavi!K64</f>
        <v>PF</v>
      </c>
      <c r="D63">
        <f>Ricavi!L64</f>
        <v>1325620</v>
      </c>
      <c r="E63">
        <f>Ricavi!M64</f>
        <v>1.59928712602404</v>
      </c>
      <c r="F63">
        <f t="shared" si="1"/>
        <v>2120046.9999999879</v>
      </c>
      <c r="G63" t="s">
        <v>206</v>
      </c>
    </row>
    <row r="64" spans="2:8" x14ac:dyDescent="0.3">
      <c r="B64" t="str">
        <f>Ricavi!J65</f>
        <v>Spese trasporto</v>
      </c>
      <c r="C64" t="str">
        <f>Ricavi!K65</f>
        <v>Others</v>
      </c>
      <c r="D64">
        <f>Ricavi!L65</f>
        <v>25000</v>
      </c>
      <c r="E64">
        <v>1</v>
      </c>
      <c r="F64">
        <f t="shared" si="1"/>
        <v>25000</v>
      </c>
      <c r="H64" t="str">
        <f>"Riaccredito trasporti"</f>
        <v>Riaccredito trasporti</v>
      </c>
    </row>
    <row r="65" spans="2:8" x14ac:dyDescent="0.3">
      <c r="B65" t="str">
        <f>Ricavi!J66</f>
        <v>Premio Year22</v>
      </c>
      <c r="C65" t="str">
        <f>Ricavi!K66</f>
        <v>Others</v>
      </c>
      <c r="D65">
        <f>Ricavi!L66</f>
        <v>12</v>
      </c>
      <c r="E65">
        <f>Ricavi!M66</f>
        <v>18980.987499999999</v>
      </c>
      <c r="F65">
        <f>-D65*E65</f>
        <v>-227771.84999999998</v>
      </c>
      <c r="H65" t="str">
        <f>"Premio clienti (ricavo negativo)"</f>
        <v>Premio clienti (ricavo negativo)</v>
      </c>
    </row>
    <row r="67" spans="2:8" x14ac:dyDescent="0.3">
      <c r="E67" s="93" t="s">
        <v>199</v>
      </c>
      <c r="F67" s="93">
        <f>SUM(F3:F65)</f>
        <v>57945067.876579978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showGridLines="0" topLeftCell="A4" zoomScale="85" zoomScaleNormal="85" workbookViewId="0">
      <selection activeCell="B6" sqref="B6:E7"/>
    </sheetView>
  </sheetViews>
  <sheetFormatPr defaultColWidth="9.33203125" defaultRowHeight="14.4" x14ac:dyDescent="0.3"/>
  <cols>
    <col min="1" max="1" width="2.88671875" style="3" customWidth="1"/>
    <col min="2" max="2" width="62.33203125" style="8" customWidth="1"/>
    <col min="3" max="3" width="23.5546875" style="3" bestFit="1" customWidth="1"/>
    <col min="4" max="14" width="10.5546875" style="3" customWidth="1"/>
    <col min="15" max="15" width="12.44140625" style="3" bestFit="1" customWidth="1"/>
    <col min="16" max="16" width="11.5546875" style="3" customWidth="1"/>
    <col min="17" max="16384" width="9.33203125" style="3"/>
  </cols>
  <sheetData>
    <row r="1" spans="2:16" ht="15.6" customHeight="1" thickBot="1" x14ac:dyDescent="0.35"/>
    <row r="2" spans="2:16" ht="15" thickBot="1" x14ac:dyDescent="0.35">
      <c r="B2" s="103" t="s">
        <v>134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5"/>
    </row>
    <row r="3" spans="2:16" x14ac:dyDescent="0.25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5.6" x14ac:dyDescent="0.3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">
      <c r="B14" s="21"/>
      <c r="O14" s="23"/>
    </row>
    <row r="15" spans="2:16" x14ac:dyDescent="0.3">
      <c r="B15" s="21" t="s">
        <v>165</v>
      </c>
      <c r="O15" s="23"/>
    </row>
    <row r="16" spans="2:16" x14ac:dyDescent="0.3">
      <c r="B16" s="14" t="s">
        <v>183</v>
      </c>
      <c r="O16" s="23"/>
    </row>
    <row r="17" spans="2:16" x14ac:dyDescent="0.3">
      <c r="B17" s="21" t="s">
        <v>174</v>
      </c>
      <c r="O17" s="23"/>
      <c r="P17" s="3" t="s">
        <v>185</v>
      </c>
    </row>
    <row r="18" spans="2:16" x14ac:dyDescent="0.3">
      <c r="B18" s="21" t="s">
        <v>166</v>
      </c>
      <c r="O18" s="23"/>
    </row>
    <row r="19" spans="2:16" x14ac:dyDescent="0.3">
      <c r="B19" s="21" t="s">
        <v>182</v>
      </c>
      <c r="O19" s="23"/>
    </row>
    <row r="20" spans="2:16" x14ac:dyDescent="0.3">
      <c r="B20" s="21" t="s">
        <v>181</v>
      </c>
      <c r="O20" s="23"/>
    </row>
    <row r="21" spans="2:16" x14ac:dyDescent="0.3">
      <c r="B21" s="21"/>
      <c r="O21" s="23"/>
    </row>
    <row r="22" spans="2:16" x14ac:dyDescent="0.3">
      <c r="B22" s="12" t="s">
        <v>75</v>
      </c>
      <c r="O22" s="23"/>
    </row>
    <row r="23" spans="2:16" x14ac:dyDescent="0.3">
      <c r="B23" s="21" t="s">
        <v>171</v>
      </c>
      <c r="O23" s="23"/>
    </row>
    <row r="24" spans="2:16" x14ac:dyDescent="0.3">
      <c r="B24" s="21"/>
      <c r="O24" s="23"/>
    </row>
    <row r="25" spans="2:16" x14ac:dyDescent="0.3">
      <c r="B25" s="12" t="s">
        <v>76</v>
      </c>
      <c r="O25" s="23"/>
    </row>
    <row r="26" spans="2:16" x14ac:dyDescent="0.3">
      <c r="B26" s="21" t="s">
        <v>175</v>
      </c>
      <c r="O26" s="23"/>
    </row>
    <row r="27" spans="2:16" x14ac:dyDescent="0.3">
      <c r="B27" s="21"/>
      <c r="O27" s="23"/>
    </row>
    <row r="28" spans="2:16" x14ac:dyDescent="0.3">
      <c r="B28" s="12" t="s">
        <v>122</v>
      </c>
      <c r="O28" s="23"/>
    </row>
    <row r="29" spans="2:16" x14ac:dyDescent="0.3">
      <c r="B29" s="21" t="s">
        <v>161</v>
      </c>
      <c r="O29" s="23"/>
    </row>
    <row r="30" spans="2:16" x14ac:dyDescent="0.3">
      <c r="B30" s="21" t="s">
        <v>173</v>
      </c>
      <c r="O30" s="23"/>
    </row>
    <row r="31" spans="2:16" x14ac:dyDescent="0.3">
      <c r="B31" s="21" t="s">
        <v>123</v>
      </c>
      <c r="O31" s="23"/>
    </row>
    <row r="32" spans="2:16" x14ac:dyDescent="0.3">
      <c r="B32" s="21"/>
      <c r="O32" s="23"/>
    </row>
    <row r="33" spans="2:15" x14ac:dyDescent="0.3">
      <c r="B33" s="12" t="s">
        <v>121</v>
      </c>
      <c r="O33" s="23"/>
    </row>
    <row r="34" spans="2:15" ht="15" thickBot="1" x14ac:dyDescent="0.35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B2:H23"/>
  <sheetViews>
    <sheetView workbookViewId="0">
      <selection activeCell="F21" sqref="F21"/>
    </sheetView>
  </sheetViews>
  <sheetFormatPr defaultRowHeight="14.4" x14ac:dyDescent="0.3"/>
  <cols>
    <col min="2" max="2" width="23.6640625" bestFit="1" customWidth="1"/>
    <col min="3" max="3" width="12" bestFit="1" customWidth="1"/>
    <col min="4" max="5" width="12.6640625" bestFit="1" customWidth="1"/>
    <col min="6" max="6" width="26.109375" bestFit="1" customWidth="1"/>
    <col min="7" max="7" width="20.5546875" bestFit="1" customWidth="1"/>
    <col min="8" max="8" width="58.44140625" bestFit="1" customWidth="1"/>
  </cols>
  <sheetData>
    <row r="2" spans="2:8" x14ac:dyDescent="0.3">
      <c r="B2" t="s">
        <v>215</v>
      </c>
      <c r="C2">
        <v>3450000</v>
      </c>
    </row>
    <row r="3" spans="2:8" x14ac:dyDescent="0.3">
      <c r="B3" t="s">
        <v>216</v>
      </c>
      <c r="C3">
        <v>0.41</v>
      </c>
      <c r="E3" t="s">
        <v>200</v>
      </c>
      <c r="F3" t="s">
        <v>213</v>
      </c>
      <c r="G3" t="s">
        <v>214</v>
      </c>
    </row>
    <row r="4" spans="2:8" x14ac:dyDescent="0.3">
      <c r="B4" t="s">
        <v>217</v>
      </c>
      <c r="C4">
        <f>1-C3</f>
        <v>0.59000000000000008</v>
      </c>
      <c r="E4" t="s">
        <v>113</v>
      </c>
      <c r="F4">
        <f>SUMIF(RicaviBudget!$G:$G,"P",RicaviBudget!$D:$D)</f>
        <v>14624683</v>
      </c>
      <c r="G4">
        <f>F4/1000</f>
        <v>14624.683000000001</v>
      </c>
    </row>
    <row r="5" spans="2:8" x14ac:dyDescent="0.3">
      <c r="B5" t="s">
        <v>218</v>
      </c>
      <c r="C5">
        <v>8997222.2200000007</v>
      </c>
      <c r="E5" t="s">
        <v>210</v>
      </c>
      <c r="F5">
        <f>SUMIF(RicaviBudget!$G:$G,"V",RicaviBudget!$D:$D)</f>
        <v>6470002</v>
      </c>
      <c r="G5">
        <f t="shared" ref="G5:G6" si="0">F5/1000</f>
        <v>6470.0020000000004</v>
      </c>
    </row>
    <row r="6" spans="2:8" x14ac:dyDescent="0.3">
      <c r="B6" t="s">
        <v>219</v>
      </c>
      <c r="C6">
        <v>4300000</v>
      </c>
      <c r="E6" t="s">
        <v>211</v>
      </c>
      <c r="F6">
        <f>SUMIF(RicaviBudget!$G:$G,"A",RicaviBudget!$D:$CD)</f>
        <v>9655208.9900000002</v>
      </c>
      <c r="G6">
        <f t="shared" si="0"/>
        <v>9655.208990000001</v>
      </c>
    </row>
    <row r="7" spans="2:8" x14ac:dyDescent="0.3">
      <c r="E7" t="s">
        <v>212</v>
      </c>
      <c r="F7">
        <f xml:space="preserve"> SUM(F4:F6)</f>
        <v>30749893.990000002</v>
      </c>
      <c r="G7">
        <f>G6+G5+G4</f>
        <v>30749.893990000004</v>
      </c>
    </row>
    <row r="8" spans="2:8" x14ac:dyDescent="0.3">
      <c r="B8" t="s">
        <v>220</v>
      </c>
      <c r="C8">
        <f>C2*C3</f>
        <v>1414500</v>
      </c>
      <c r="F8" t="s">
        <v>198</v>
      </c>
      <c r="G8" t="s">
        <v>202</v>
      </c>
      <c r="H8" t="s">
        <v>201</v>
      </c>
    </row>
    <row r="9" spans="2:8" x14ac:dyDescent="0.3">
      <c r="B9" t="s">
        <v>221</v>
      </c>
      <c r="C9">
        <f>C2*C4</f>
        <v>2035500.0000000002</v>
      </c>
      <c r="F9" t="s">
        <v>230</v>
      </c>
      <c r="G9">
        <f>(G6*0.93+G5*0.64)*C18</f>
        <v>7080.2103150872417</v>
      </c>
      <c r="H9" t="s">
        <v>228</v>
      </c>
    </row>
    <row r="10" spans="2:8" x14ac:dyDescent="0.3">
      <c r="F10" t="s">
        <v>231</v>
      </c>
      <c r="G10">
        <f xml:space="preserve"> ( G4*140 + G5*60 + G6*65 + 3300000 ) * C17</f>
        <v>1110442.5180509007</v>
      </c>
      <c r="H10" t="s">
        <v>229</v>
      </c>
    </row>
    <row r="11" spans="2:8" x14ac:dyDescent="0.3">
      <c r="B11" t="s">
        <v>222</v>
      </c>
      <c r="C11">
        <f>C8/C5</f>
        <v>0.15721518991224825</v>
      </c>
      <c r="F11" t="s">
        <v>232</v>
      </c>
      <c r="G11">
        <f>-'CE 21-22'!F15 *1.025</f>
        <v>153750</v>
      </c>
    </row>
    <row r="12" spans="2:8" x14ac:dyDescent="0.3">
      <c r="B12" t="s">
        <v>223</v>
      </c>
      <c r="C12">
        <f>C9/C6</f>
        <v>0.47337209302325589</v>
      </c>
      <c r="F12" t="s">
        <v>233</v>
      </c>
      <c r="G12">
        <f>G7*10.24</f>
        <v>314878.91445760004</v>
      </c>
    </row>
    <row r="13" spans="2:8" x14ac:dyDescent="0.3">
      <c r="F13" t="s">
        <v>234</v>
      </c>
      <c r="G13">
        <f>G7*43.2</f>
        <v>1328395.4203680002</v>
      </c>
    </row>
    <row r="14" spans="2:8" x14ac:dyDescent="0.3">
      <c r="B14" t="s">
        <v>224</v>
      </c>
      <c r="C14">
        <v>0.11</v>
      </c>
      <c r="F14" t="s">
        <v>235</v>
      </c>
      <c r="G14">
        <f>(SUMIF(RicaviBudget!$G:$G,"P",RicaviBudget!$F:$F)+SUMIF(RicaviBudget!$G:$G,"V",RicaviBudget!$F:$F))*0.02</f>
        <v>840816.26390000002</v>
      </c>
    </row>
    <row r="15" spans="2:8" x14ac:dyDescent="0.3">
      <c r="B15" t="s">
        <v>225</v>
      </c>
      <c r="C15">
        <v>0.14000000000000001</v>
      </c>
      <c r="F15" t="s">
        <v>241</v>
      </c>
      <c r="G15">
        <f>C23*71</f>
        <v>962501.47376339999</v>
      </c>
    </row>
    <row r="17" spans="2:7" x14ac:dyDescent="0.3">
      <c r="B17" t="s">
        <v>226</v>
      </c>
      <c r="C17">
        <f>C11*(1+C14)</f>
        <v>0.17450886080259559</v>
      </c>
      <c r="F17" s="93" t="s">
        <v>236</v>
      </c>
      <c r="G17" s="93">
        <f>SUM(G9:G15)</f>
        <v>4717864.8008549884</v>
      </c>
    </row>
    <row r="18" spans="2:7" x14ac:dyDescent="0.3">
      <c r="B18" t="s">
        <v>227</v>
      </c>
      <c r="C18">
        <f>C12*(1+C15)</f>
        <v>0.53964418604651176</v>
      </c>
    </row>
    <row r="20" spans="2:7" x14ac:dyDescent="0.3">
      <c r="B20" t="s">
        <v>237</v>
      </c>
      <c r="C20">
        <f>G4*1.67*1.56</f>
        <v>38100.224151599999</v>
      </c>
    </row>
    <row r="21" spans="2:7" x14ac:dyDescent="0.3">
      <c r="B21" t="s">
        <v>238</v>
      </c>
      <c r="C21">
        <f>G5+G6</f>
        <v>16125.210990000001</v>
      </c>
    </row>
    <row r="22" spans="2:7" x14ac:dyDescent="0.3">
      <c r="B22" t="s">
        <v>239</v>
      </c>
      <c r="C22">
        <f>C21+C20</f>
        <v>54225.435141599999</v>
      </c>
    </row>
    <row r="23" spans="2:7" x14ac:dyDescent="0.3">
      <c r="B23" t="s">
        <v>240</v>
      </c>
      <c r="C23">
        <f>C22*0.25</f>
        <v>13556.3587854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showGridLines="0" zoomScale="90" zoomScaleNormal="90" workbookViewId="0">
      <selection activeCell="B19" sqref="B19"/>
    </sheetView>
  </sheetViews>
  <sheetFormatPr defaultColWidth="8.88671875" defaultRowHeight="14.4" x14ac:dyDescent="0.3"/>
  <cols>
    <col min="1" max="1" width="2.6640625" style="1" customWidth="1"/>
    <col min="2" max="2" width="123.33203125" style="1" bestFit="1" customWidth="1"/>
    <col min="3" max="16384" width="8.88671875" style="1"/>
  </cols>
  <sheetData>
    <row r="1" spans="2:2" ht="15" thickBot="1" x14ac:dyDescent="0.35"/>
    <row r="2" spans="2:2" ht="15" thickBot="1" x14ac:dyDescent="0.35">
      <c r="B2" s="41" t="s">
        <v>135</v>
      </c>
    </row>
    <row r="3" spans="2:2" x14ac:dyDescent="0.3">
      <c r="B3" s="76" t="s">
        <v>82</v>
      </c>
    </row>
    <row r="4" spans="2:2" x14ac:dyDescent="0.3">
      <c r="B4" s="33" t="s">
        <v>168</v>
      </c>
    </row>
    <row r="5" spans="2:2" x14ac:dyDescent="0.3">
      <c r="B5" s="33"/>
    </row>
    <row r="6" spans="2:2" x14ac:dyDescent="0.3">
      <c r="B6" s="76" t="s">
        <v>83</v>
      </c>
    </row>
    <row r="7" spans="2:2" x14ac:dyDescent="0.3">
      <c r="B7" s="33" t="s">
        <v>126</v>
      </c>
    </row>
    <row r="8" spans="2:2" x14ac:dyDescent="0.3">
      <c r="B8" s="33"/>
    </row>
    <row r="9" spans="2:2" x14ac:dyDescent="0.3">
      <c r="B9" s="76" t="s">
        <v>84</v>
      </c>
    </row>
    <row r="10" spans="2:2" x14ac:dyDescent="0.3">
      <c r="B10" s="32" t="s">
        <v>128</v>
      </c>
    </row>
    <row r="11" spans="2:2" x14ac:dyDescent="0.3">
      <c r="B11" s="32"/>
    </row>
    <row r="12" spans="2:2" x14ac:dyDescent="0.3">
      <c r="B12" s="76" t="s">
        <v>85</v>
      </c>
    </row>
    <row r="13" spans="2:2" x14ac:dyDescent="0.3">
      <c r="B13" s="32" t="s">
        <v>128</v>
      </c>
    </row>
    <row r="14" spans="2:2" x14ac:dyDescent="0.3">
      <c r="B14" s="33"/>
    </row>
    <row r="15" spans="2:2" x14ac:dyDescent="0.3">
      <c r="B15" s="76" t="s">
        <v>86</v>
      </c>
    </row>
    <row r="16" spans="2:2" x14ac:dyDescent="0.3">
      <c r="B16" s="32" t="s">
        <v>128</v>
      </c>
    </row>
    <row r="17" spans="2:2" x14ac:dyDescent="0.3">
      <c r="B17" s="33"/>
    </row>
    <row r="18" spans="2:2" x14ac:dyDescent="0.3">
      <c r="B18" s="76" t="s">
        <v>87</v>
      </c>
    </row>
    <row r="19" spans="2:2" x14ac:dyDescent="0.3">
      <c r="B19" s="32" t="s">
        <v>128</v>
      </c>
    </row>
    <row r="20" spans="2:2" x14ac:dyDescent="0.3">
      <c r="B20" s="77"/>
    </row>
    <row r="21" spans="2:2" x14ac:dyDescent="0.3">
      <c r="B21" s="76" t="s">
        <v>89</v>
      </c>
    </row>
    <row r="22" spans="2:2" x14ac:dyDescent="0.3">
      <c r="B22" s="32" t="s">
        <v>128</v>
      </c>
    </row>
    <row r="23" spans="2:2" x14ac:dyDescent="0.3">
      <c r="B23" s="33"/>
    </row>
    <row r="24" spans="2:2" x14ac:dyDescent="0.3">
      <c r="B24" s="76" t="s">
        <v>90</v>
      </c>
    </row>
    <row r="25" spans="2:2" x14ac:dyDescent="0.3">
      <c r="B25" s="32" t="s">
        <v>128</v>
      </c>
    </row>
    <row r="26" spans="2:2" x14ac:dyDescent="0.3">
      <c r="B26" s="33"/>
    </row>
    <row r="27" spans="2:2" x14ac:dyDescent="0.3">
      <c r="B27" s="76" t="s">
        <v>91</v>
      </c>
    </row>
    <row r="28" spans="2:2" ht="15" thickBot="1" x14ac:dyDescent="0.35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C26"/>
  <sheetViews>
    <sheetView workbookViewId="0">
      <selection activeCell="C26" sqref="C26"/>
    </sheetView>
  </sheetViews>
  <sheetFormatPr defaultRowHeight="14.4" x14ac:dyDescent="0.3"/>
  <cols>
    <col min="2" max="2" width="41.6640625" bestFit="1" customWidth="1"/>
    <col min="6" max="6" width="9.109375" customWidth="1"/>
  </cols>
  <sheetData>
    <row r="2" spans="2:3" x14ac:dyDescent="0.3">
      <c r="B2" t="s">
        <v>242</v>
      </c>
      <c r="C2">
        <f>-'CE 21-22'!F22+50*12*100</f>
        <v>5570785.9100000001</v>
      </c>
    </row>
    <row r="4" spans="2:3" x14ac:dyDescent="0.3">
      <c r="B4" t="s">
        <v>243</v>
      </c>
      <c r="C4">
        <f>-'CE 21-22'!F23-150000</f>
        <v>1050000</v>
      </c>
    </row>
    <row r="6" spans="2:3" x14ac:dyDescent="0.3">
      <c r="B6" t="s">
        <v>244</v>
      </c>
      <c r="C6">
        <f>-'CE 21-22'!F24*1.025</f>
        <v>307500</v>
      </c>
    </row>
    <row r="8" spans="2:3" x14ac:dyDescent="0.3">
      <c r="B8" t="s">
        <v>245</v>
      </c>
      <c r="C8">
        <f>-'CE 21-22'!F25*1.025</f>
        <v>151700</v>
      </c>
    </row>
    <row r="10" spans="2:3" x14ac:dyDescent="0.3">
      <c r="B10" t="s">
        <v>246</v>
      </c>
      <c r="C10">
        <f>-'CE 21-22'!F26*1.025</f>
        <v>309550</v>
      </c>
    </row>
    <row r="12" spans="2:3" x14ac:dyDescent="0.3">
      <c r="B12" t="s">
        <v>247</v>
      </c>
      <c r="C12">
        <f>-'CE 21-22'!F27*1.025</f>
        <v>212174.99999999997</v>
      </c>
    </row>
    <row r="14" spans="2:3" x14ac:dyDescent="0.3">
      <c r="B14" s="93" t="s">
        <v>251</v>
      </c>
      <c r="C14" s="93">
        <f>SUM(C12+C10+C8+C6+C4+C2)</f>
        <v>7601710.9100000001</v>
      </c>
    </row>
    <row r="17" spans="2:3" x14ac:dyDescent="0.3">
      <c r="B17" t="s">
        <v>248</v>
      </c>
      <c r="C17">
        <f>-'CE 21-22'!F29*1.025</f>
        <v>563750</v>
      </c>
    </row>
    <row r="19" spans="2:3" x14ac:dyDescent="0.3">
      <c r="B19" s="94" t="s">
        <v>249</v>
      </c>
      <c r="C19">
        <f>-'CE 21-22'!F30*1.025</f>
        <v>307500</v>
      </c>
    </row>
    <row r="21" spans="2:3" x14ac:dyDescent="0.3">
      <c r="B21" t="s">
        <v>250</v>
      </c>
      <c r="C21">
        <f>-'CE 21-22'!F31*1.025</f>
        <v>102499.99999999999</v>
      </c>
    </row>
    <row r="23" spans="2:3" x14ac:dyDescent="0.3">
      <c r="B23" s="93" t="s">
        <v>252</v>
      </c>
      <c r="C23" s="93">
        <f>SUM(C17+C19+C21)</f>
        <v>973750</v>
      </c>
    </row>
    <row r="26" spans="2:3" x14ac:dyDescent="0.3">
      <c r="B26" s="93" t="s">
        <v>253</v>
      </c>
      <c r="C26" s="93">
        <f>SUM(C23+C14)</f>
        <v>8575460.9100000001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showGridLines="0" tabSelected="1" zoomScale="90" zoomScaleNormal="90" workbookViewId="0">
      <selection activeCell="B4" sqref="B4"/>
    </sheetView>
  </sheetViews>
  <sheetFormatPr defaultColWidth="8.88671875" defaultRowHeight="14.4" x14ac:dyDescent="0.3"/>
  <cols>
    <col min="1" max="1" width="2.88671875" style="1" customWidth="1"/>
    <col min="2" max="2" width="70.44140625" style="1" bestFit="1" customWidth="1"/>
    <col min="3" max="16384" width="8.88671875" style="1"/>
  </cols>
  <sheetData>
    <row r="1" spans="2:9" ht="15" thickBot="1" x14ac:dyDescent="0.35"/>
    <row r="2" spans="2:9" ht="15" thickBot="1" x14ac:dyDescent="0.35">
      <c r="B2" s="41" t="s">
        <v>136</v>
      </c>
    </row>
    <row r="3" spans="2:9" x14ac:dyDescent="0.3">
      <c r="B3" s="31" t="s">
        <v>94</v>
      </c>
    </row>
    <row r="4" spans="2:9" x14ac:dyDescent="0.3">
      <c r="B4" s="106" t="s">
        <v>176</v>
      </c>
      <c r="C4" s="1" t="s">
        <v>186</v>
      </c>
    </row>
    <row r="5" spans="2:9" x14ac:dyDescent="0.3">
      <c r="B5" s="32"/>
      <c r="C5" s="1" t="s">
        <v>187</v>
      </c>
    </row>
    <row r="6" spans="2:9" x14ac:dyDescent="0.3">
      <c r="B6" s="31" t="s">
        <v>95</v>
      </c>
      <c r="C6" s="1" t="s">
        <v>188</v>
      </c>
    </row>
    <row r="7" spans="2:9" x14ac:dyDescent="0.3">
      <c r="B7" s="32" t="s">
        <v>127</v>
      </c>
    </row>
    <row r="8" spans="2:9" x14ac:dyDescent="0.3">
      <c r="B8" s="32"/>
    </row>
    <row r="9" spans="2:9" x14ac:dyDescent="0.3">
      <c r="B9" s="31" t="s">
        <v>96</v>
      </c>
    </row>
    <row r="10" spans="2:9" x14ac:dyDescent="0.3">
      <c r="B10" s="33" t="s">
        <v>130</v>
      </c>
    </row>
    <row r="11" spans="2:9" x14ac:dyDescent="0.3">
      <c r="B11" s="33"/>
    </row>
    <row r="12" spans="2:9" x14ac:dyDescent="0.3">
      <c r="B12" s="31" t="s">
        <v>99</v>
      </c>
    </row>
    <row r="13" spans="2:9" x14ac:dyDescent="0.3">
      <c r="B13" s="32" t="s">
        <v>160</v>
      </c>
      <c r="C13" s="1" t="s">
        <v>189</v>
      </c>
      <c r="I13" s="1" t="s">
        <v>190</v>
      </c>
    </row>
    <row r="14" spans="2:9" x14ac:dyDescent="0.3">
      <c r="B14" s="32"/>
    </row>
    <row r="15" spans="2:9" x14ac:dyDescent="0.3">
      <c r="B15" s="31" t="s">
        <v>100</v>
      </c>
    </row>
    <row r="16" spans="2:9" x14ac:dyDescent="0.3">
      <c r="B16" s="32" t="s">
        <v>131</v>
      </c>
    </row>
    <row r="17" spans="2:2" x14ac:dyDescent="0.3">
      <c r="B17" s="32"/>
    </row>
    <row r="18" spans="2:2" x14ac:dyDescent="0.3">
      <c r="B18" s="31" t="s">
        <v>103</v>
      </c>
    </row>
    <row r="19" spans="2:2" x14ac:dyDescent="0.3">
      <c r="B19" s="32" t="s">
        <v>132</v>
      </c>
    </row>
    <row r="20" spans="2:2" x14ac:dyDescent="0.3">
      <c r="B20" s="32"/>
    </row>
    <row r="21" spans="2:2" x14ac:dyDescent="0.3">
      <c r="B21" s="31" t="s">
        <v>104</v>
      </c>
    </row>
    <row r="22" spans="2:2" x14ac:dyDescent="0.3">
      <c r="B22" s="32" t="s">
        <v>133</v>
      </c>
    </row>
    <row r="23" spans="2:2" x14ac:dyDescent="0.3">
      <c r="B23" s="32"/>
    </row>
    <row r="24" spans="2:2" x14ac:dyDescent="0.3">
      <c r="B24" s="31" t="s">
        <v>105</v>
      </c>
    </row>
    <row r="25" spans="2:2" x14ac:dyDescent="0.3">
      <c r="B25" s="33" t="s">
        <v>129</v>
      </c>
    </row>
    <row r="26" spans="2:2" x14ac:dyDescent="0.3">
      <c r="B26" s="33"/>
    </row>
    <row r="27" spans="2:2" x14ac:dyDescent="0.3">
      <c r="B27" s="31" t="s">
        <v>108</v>
      </c>
    </row>
    <row r="28" spans="2:2" ht="15" thickBot="1" x14ac:dyDescent="0.35">
      <c r="B28" s="34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NICOLA ALGERI</cp:lastModifiedBy>
  <dcterms:created xsi:type="dcterms:W3CDTF">2015-06-05T18:19:34Z</dcterms:created>
  <dcterms:modified xsi:type="dcterms:W3CDTF">2025-12-08T12:39:46Z</dcterms:modified>
</cp:coreProperties>
</file>