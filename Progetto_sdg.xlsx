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ikyv\Desktop\Universita\SDG\script-analisi-scostamenti\"/>
    </mc:Choice>
  </mc:AlternateContent>
  <xr:revisionPtr revIDLastSave="0" documentId="13_ncr:1_{3049C028-691C-4179-BCEF-DD88AB2DFC8C}" xr6:coauthVersionLast="47" xr6:coauthVersionMax="47" xr10:uidLastSave="{00000000-0000-0000-0000-000000000000}"/>
  <bookViews>
    <workbookView xWindow="9510" yWindow="0" windowWidth="9780" windowHeight="10170" firstSheet="1" activeTab="1" xr2:uid="{F67C1344-DA6D-437B-A795-BE773FAE3582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FixedCostsBudget" sheetId="9" r:id="rId7"/>
    <sheet name="Others" sheetId="6" r:id="rId8"/>
    <sheet name="OthersBudget" sheetId="10" r:id="rId9"/>
    <sheet name="CE Budget 2022" sheetId="11" r:id="rId10"/>
    <sheet name="Analisi degli scostamenti" sheetId="12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2" l="1"/>
  <c r="D12" i="12"/>
  <c r="D13" i="12"/>
  <c r="D14" i="12"/>
  <c r="D10" i="12"/>
  <c r="C14" i="12"/>
  <c r="C13" i="12"/>
  <c r="C12" i="12"/>
  <c r="C11" i="12"/>
  <c r="C10" i="12"/>
  <c r="C18" i="12" s="1"/>
  <c r="I98" i="1" a="1"/>
  <c r="I98" i="1" s="1"/>
  <c r="I97" i="1" a="1"/>
  <c r="I97" i="1" s="1"/>
  <c r="I96" i="1" a="1"/>
  <c r="I96" i="1" s="1"/>
  <c r="I95" i="1" a="1"/>
  <c r="I95" i="1" s="1"/>
  <c r="I94" i="1" a="1"/>
  <c r="I94" i="1" s="1"/>
  <c r="F98" i="1" a="1"/>
  <c r="F98" i="1"/>
  <c r="F97" i="1" a="1"/>
  <c r="F97" i="1" s="1"/>
  <c r="F96" i="1" a="1"/>
  <c r="F96" i="1" s="1"/>
  <c r="F95" i="1" a="1"/>
  <c r="F95" i="1" s="1"/>
  <c r="F94" i="1" a="1"/>
  <c r="F94" i="1" s="1"/>
  <c r="C98" i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1" i="12"/>
  <c r="D73" i="12"/>
  <c r="D74" i="12"/>
  <c r="D75" i="12"/>
  <c r="D77" i="12"/>
  <c r="D78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D4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D47" i="12" a="1"/>
  <c r="D47" i="12" s="1"/>
  <c r="D50" i="12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5" i="12" a="1"/>
  <c r="D35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D4" i="12" a="1"/>
  <c r="D4" i="12" s="1"/>
  <c r="C33" i="12" s="1"/>
  <c r="C40" i="12" s="1"/>
  <c r="C8" i="12"/>
  <c r="C25" i="12" s="1"/>
  <c r="C7" i="12"/>
  <c r="C24" i="12" s="1"/>
  <c r="C6" i="12"/>
  <c r="C23" i="12" s="1"/>
  <c r="C5" i="12"/>
  <c r="C22" i="12" s="1"/>
  <c r="C4" i="12"/>
  <c r="C21" i="12" s="1"/>
  <c r="E64" i="12" l="1"/>
  <c r="C16" i="12"/>
  <c r="E93" i="12"/>
  <c r="D16" i="12"/>
  <c r="G3" i="12"/>
  <c r="G7" i="12"/>
  <c r="G6" i="12"/>
  <c r="G5" i="12"/>
  <c r="G4" i="12"/>
  <c r="H4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E40" i="12"/>
  <c r="C8" i="13"/>
  <c r="C11" i="13" s="1"/>
  <c r="C17" i="13" s="1"/>
  <c r="E23" i="12"/>
  <c r="C39" i="12"/>
  <c r="C45" i="12" s="1"/>
  <c r="E37" i="12"/>
  <c r="E33" i="12"/>
  <c r="E25" i="12"/>
  <c r="E24" i="12"/>
  <c r="E21" i="12"/>
  <c r="E34" i="12"/>
  <c r="E22" i="12"/>
  <c r="E35" i="12"/>
  <c r="D39" i="12"/>
  <c r="E36" i="12"/>
  <c r="G9" i="12" l="1"/>
  <c r="H7" i="12"/>
  <c r="H3" i="12"/>
  <c r="H9" i="12" s="1"/>
  <c r="H6" i="12"/>
  <c r="F24" i="12" s="1"/>
  <c r="G24" i="12" s="1"/>
  <c r="H5" i="12"/>
  <c r="F23" i="12" s="1"/>
  <c r="G23" i="12" s="1"/>
  <c r="I5" i="12"/>
  <c r="F35" i="12" s="1" a="1"/>
  <c r="F35" i="12" s="1"/>
  <c r="F22" i="12"/>
  <c r="G22" i="12" s="1"/>
  <c r="I4" i="12"/>
  <c r="F34" i="12" s="1" a="1"/>
  <c r="F34" i="12" s="1"/>
  <c r="D45" i="12"/>
  <c r="E39" i="12"/>
  <c r="I6" i="12" l="1"/>
  <c r="F36" i="12" s="1" a="1"/>
  <c r="F36" i="12" s="1"/>
  <c r="I3" i="12"/>
  <c r="F21" i="12"/>
  <c r="G21" i="12" s="1"/>
  <c r="I7" i="12"/>
  <c r="F37" i="12" s="1" a="1"/>
  <c r="F37" i="12" s="1"/>
  <c r="F25" i="12"/>
  <c r="G25" i="12" s="1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F6" i="13" l="1"/>
  <c r="G6" i="13" s="1"/>
  <c r="F4" i="13"/>
  <c r="F5" i="13"/>
  <c r="G5" i="13" s="1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G4" i="13" l="1"/>
  <c r="F7" i="13"/>
  <c r="G7" i="13"/>
  <c r="G13" i="13" s="1"/>
  <c r="H6" i="13"/>
  <c r="I6" i="13"/>
  <c r="C42" i="13"/>
  <c r="C8" i="11"/>
  <c r="D8" i="11" s="1"/>
  <c r="G12" i="13"/>
  <c r="C41" i="13"/>
  <c r="H5" i="13"/>
  <c r="I5" i="13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C11" i="11" l="1" a="1"/>
  <c r="C11" i="11" s="1"/>
  <c r="D11" i="11" s="1"/>
  <c r="C47" i="12" a="1"/>
  <c r="C47" i="12" s="1"/>
  <c r="K55" i="7"/>
  <c r="G14" i="13"/>
  <c r="I16" i="7"/>
  <c r="H4" i="13"/>
  <c r="G9" i="13" s="1"/>
  <c r="I4" i="13"/>
  <c r="G10" i="13" s="1"/>
  <c r="C40" i="13"/>
  <c r="C43" i="13" s="1"/>
  <c r="C44" i="13" s="1"/>
  <c r="G15" i="13" s="1"/>
  <c r="G17" i="13" s="1"/>
  <c r="C7" i="11"/>
  <c r="D7" i="11" s="1"/>
  <c r="K59" i="7"/>
  <c r="K57" i="7"/>
  <c r="C42" i="8"/>
  <c r="I6" i="8"/>
  <c r="H6" i="8"/>
  <c r="H5" i="8"/>
  <c r="G12" i="8"/>
  <c r="C16" i="11" s="1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/>
  <c r="G13" i="8" s="1"/>
  <c r="C18" i="11" s="1"/>
  <c r="C58" i="12" s="1"/>
  <c r="G67" i="7"/>
  <c r="C27" i="9"/>
  <c r="D19" i="11" l="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E50" i="12" l="1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E52" i="12" l="1"/>
  <c r="C56" i="12"/>
  <c r="C17" i="11"/>
  <c r="D17" i="11" s="1"/>
  <c r="D14" i="11"/>
  <c r="G17" i="8"/>
  <c r="H4" i="1"/>
  <c r="C21" i="3"/>
  <c r="C33" i="3" s="1"/>
  <c r="C38" i="3" s="1"/>
  <c r="C42" i="3" s="1"/>
  <c r="C47" i="3" s="1"/>
  <c r="C49" i="3" s="1"/>
  <c r="E56" i="12" l="1"/>
  <c r="C63" i="12"/>
  <c r="D20" i="11"/>
  <c r="C21" i="11"/>
  <c r="F37" i="3"/>
  <c r="F32" i="3"/>
  <c r="F28" i="3"/>
  <c r="F20" i="3"/>
  <c r="F17" i="3"/>
  <c r="C78" i="12" l="1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H76" i="1"/>
  <c r="C91" i="12" l="1"/>
  <c r="E85" i="12"/>
  <c r="C47" i="11"/>
  <c r="C19" i="10" s="1"/>
  <c r="C48" i="11" s="1"/>
  <c r="D42" i="11"/>
  <c r="J75" i="1"/>
  <c r="H77" i="1"/>
  <c r="C97" i="12" l="1"/>
  <c r="E97" i="12" s="1"/>
  <c r="E91" i="12"/>
  <c r="D47" i="11"/>
  <c r="C49" i="11" l="1"/>
  <c r="D49" i="11" s="1"/>
  <c r="C99" i="12"/>
  <c r="D48" i="11" l="1"/>
  <c r="E99" i="12"/>
  <c r="C101" i="12"/>
  <c r="E101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<sst xmlns="http://schemas.openxmlformats.org/spreadsheetml/2006/main" count="916" uniqueCount="385">
  <si>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</si>
  <si>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</si>
  <si>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</si>
  <si>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</si>
  <si>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</si>
  <si>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</si>
  <si>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</si>
  <si>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</si>
  <si>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</si>
  <si>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</si>
  <si>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</si>
  <si>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</si>
  <si>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</si>
  <si>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</si>
  <si>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</si>
  <si>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</si>
  <si>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</si>
  <si>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</si>
  <si>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</si>
  <si>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</si>
  <si>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</si>
  <si>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</si>
  <si>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</si>
  <si>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</si>
  <si>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</si>
  <si>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</si>
  <si>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</si>
  <si>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</si>
  <si>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</si>
  <si>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</si>
  <si>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</si>
  <si>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</si>
  <si>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</si>
  <si>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</si>
  <si>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</si>
  <si>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</si>
  <si>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</si>
  <si>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</si>
  <si>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</si>
  <si>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</si>
  <si>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</si>
  <si>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</si>
  <si>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</si>
  <si>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</si>
  <si>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</si>
  <si>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</si>
  <si>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</si>
  <si>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</si>
  <si>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</si>
  <si>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</si>
  <si>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</si>
  <si>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</si>
  <si>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</si>
  <si>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</si>
  <si>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</si>
  <si>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</si>
  <si>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</si>
  <si>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</si>
  <si>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</si>
  <si>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</si>
  <si>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</si>
  <si>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</si>
  <si>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</si>
  <si>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</si>
  <si>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</si>
  <si>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</si>
  <si>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</si>
  <si>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</si>
  <si>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</si>
  <si>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</si>
  <si>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</si>
  <si>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</si>
  <si>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</si>
  <si>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</si>
  <si>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</si>
  <si>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</si>
  <si>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</si>
  <si>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</si>
  <si>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</si>
  <si>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</si>
  <si>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</si>
  <si>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</si>
  <si>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</si>
  <si>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</si>
  <si>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</si>
  <si>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</si>
  <si>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</si>
  <si>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</si>
  <si>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</si>
  <si>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</si>
  <si>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</si>
  <si>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</si>
  <si>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</si>
  <si>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</si>
  <si>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</si>
  <si>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</si>
  <si>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</si>
  <si>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</si>
  <si>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</si>
  <si>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</si>
  <si>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</si>
  <si>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</si>
  <si>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</si>
  <si>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</si>
  <si>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</si>
  <si>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</si>
  <si>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</si>
  <si>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</si>
  <si>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</si>
  <si>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</si>
  <si>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</si>
  <si>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</si>
  <si>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</si>
  <si>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</si>
  <si>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</si>
  <si>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</si>
  <si>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</si>
  <si>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</si>
  <si>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</si>
  <si>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</si>
  <si>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</si>
  <si>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</si>
  <si>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</si>
  <si>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</si>
  <si>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</si>
  <si>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</si>
  <si>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</si>
  <si>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</si>
  <si>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</si>
  <si>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</si>
  <si>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</si>
  <si>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</si>
  <si>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</si>
  <si>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</si>
  <si>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</si>
  <si>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</si>
  <si>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</si>
  <si>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</si>
  <si>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</si>
  <si>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</si>
  <si>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</si>
  <si>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</si>
  <si>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</si>
  <si>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</si>
  <si>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</si>
  <si>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</si>
  <si>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</si>
  <si>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</si>
  <si>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</si>
  <si>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</si>
  <si>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</si>
  <si>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</si>
  <si>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</si>
  <si>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</si>
  <si>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</si>
  <si>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</si>
  <si>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</si>
  <si>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</si>
  <si>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</si>
  <si>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</si>
  <si>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</si>
  <si>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</si>
  <si>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</si>
  <si>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</si>
  <si>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</si>
  <si>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</si>
  <si>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</si>
  <si>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</si>
  <si>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</si>
  <si>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</si>
  <si>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</si>
  <si>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</si>
  <si>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</si>
  <si>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</si>
  <si>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</si>
  <si>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</si>
  <si>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</si>
  <si>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</si>
  <si>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</si>
  <si>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</si>
  <si>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</si>
  <si>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</si>
  <si>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</si>
  <si>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</si>
  <si>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</si>
  <si>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</si>
  <si>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</si>
  <si>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</si>
  <si>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</si>
  <si>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</si>
  <si>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</si>
  <si>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</si>
  <si>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</si>
  <si>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</si>
  <si>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</si>
  <si>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</si>
  <si>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</si>
  <si>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</si>
  <si>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</si>
  <si>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</si>
  <si>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</si>
  <si>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</si>
  <si>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</si>
  <si>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</si>
  <si>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</si>
  <si>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</si>
  <si>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</si>
  <si>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</si>
  <si>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</si>
  <si>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</si>
  <si>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</si>
  <si>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</si>
  <si>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</si>
  <si>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</si>
  <si>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</si>
  <si>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</si>
  <si>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</si>
  <si>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</si>
  <si>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</si>
  <si>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</si>
  <si>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</si>
  <si>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</si>
  <si>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</si>
  <si>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</si>
  <si>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</si>
  <si>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</si>
  <si>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</si>
  <si>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</si>
  <si>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</si>
  <si>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</si>
  <si>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</si>
  <si>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</si>
  <si>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</si>
  <si>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</si>
  <si>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</si>
  <si>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</si>
  <si>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</si>
  <si>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</si>
  <si>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</si>
  <si>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</si>
  <si>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</si>
  <si>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</si>
  <si>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</si>
  <si>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</si>
  <si>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</si>
  <si>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</si>
  <si>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</si>
  <si>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</si>
  <si>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</si>
  <si>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</si>
  <si>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</si>
  <si>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</si>
  <si>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</si>
  <si>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</si>
  <si>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</si>
  <si>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</si>
  <si>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</si>
  <si>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</si>
  <si>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</si>
  <si>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</si>
  <si>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</si>
  <si>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</si>
  <si>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</si>
  <si>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</si>
  <si>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</si>
  <si>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</si>
  <si>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</si>
  <si>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</si>
  <si>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</si>
  <si>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</si>
  <si>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</si>
  <si>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</si>
  <si>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</si>
  <si>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</si>
  <si>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</si>
  <si>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</si>
  <si>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</si>
  <si>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</si>
  <si>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</si>
  <si>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</si>
  <si>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</si>
  <si>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</si>
  <si>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</si>
  <si>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</si>
  <si>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</si>
  <si>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</si>
  <si>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</si>
  <si>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</si>
  <si>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</si>
  <si>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</si>
  <si>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</si>
  <si>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</si>
  <si>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</si>
  <si>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</si>
  <si>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</si>
  <si>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</si>
  <si>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</si>
  <si>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</si>
  <si>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</si>
  <si>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</si>
  <si>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</si>
  <si>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</si>
  <si>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</si>
  <si>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</si>
  <si>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</si>
  <si>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</si>
  <si>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</si>
  <si>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</si>
  <si>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</si>
  <si>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</si>
  <si>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</si>
  <si>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</si>
  <si>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∆ Mix Standard-Budget</t>
  </si>
  <si>
    <t>Mix Effettivo</t>
  </si>
  <si>
    <t>∆ Mix Effettivo-Budget</t>
  </si>
  <si>
    <t>In kg</t>
  </si>
  <si>
    <t>Q MP</t>
  </si>
  <si>
    <t>Q PCL</t>
  </si>
  <si>
    <t>Q PF P</t>
  </si>
  <si>
    <t>Q PF V</t>
  </si>
  <si>
    <t>Q PF A</t>
  </si>
  <si>
    <t>In €</t>
  </si>
  <si>
    <t>Prezzo totale MP</t>
  </si>
  <si>
    <t>Prezzo totale PCL</t>
  </si>
  <si>
    <t>Prezzo totale PF P</t>
  </si>
  <si>
    <t>Prezzo totale PF V</t>
  </si>
  <si>
    <t>Prezzo totale PF A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</si>
  <si>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</si>
  <si>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</si>
  <si>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</si>
  <si>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</si>
  <si>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</si>
  <si>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</si>
  <si>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</si>
  <si>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</si>
  <si>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</si>
  <si>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</si>
  <si>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</si>
  <si>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</si>
  <si>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</si>
  <si>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</si>
  <si>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</si>
  <si>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</si>
  <si>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</si>
  <si>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</si>
  <si>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</si>
  <si>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</si>
  <si>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</si>
  <si>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</si>
  <si>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</si>
  <si>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</si>
  <si>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</si>
  <si>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</si>
  <si>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</si>
  <si>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</si>
  <si>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</si>
  <si>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</si>
  <si>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Rapporto Totale famiglia-MS</t>
  </si>
  <si>
    <t>Dati di appoggio</t>
  </si>
  <si>
    <t>Q totale reale MP</t>
  </si>
  <si>
    <t>Q totale realePCL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</si>
  <si>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</si>
  <si>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</si>
  <si>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</si>
  <si>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</si>
  <si>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</si>
  <si>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</si>
  <si>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</si>
  <si>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</si>
  <si>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</si>
  <si>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</si>
  <si>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</si>
  <si>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</si>
  <si>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</si>
  <si>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</si>
  <si>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</si>
  <si>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</si>
  <si>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</si>
  <si>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</si>
  <si>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</si>
  <si>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Quelli a budget</t>
  </si>
  <si>
    <t>Vedi foglio Ricavi</t>
  </si>
  <si>
    <t>Quelli a consuntivo</t>
  </si>
  <si>
    <t>Vedi foglio ricavi</t>
  </si>
  <si>
    <t>Ricavi totali MP a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</si>
</sst>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7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5" borderId="0" xfId="0" applyFill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178" fontId="8" fillId="0" borderId="0" xfId="0" applyNumberFormat="1" applyFont="1"/>
    <xf numFmtId="0" fontId="0" fillId="15" borderId="33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workbookViewId="0"/>
  </sheetViews>
  <sheetFormatPr defaultColWidth="8.81640625" defaultRowHeight="14.5" x14ac:dyDescent="0.35"/>
  <cols>
    <col min="1" max="1" width="2.81640625" style="1" customWidth="1"/>
    <col min="2" max="2" width="45.453125" style="1" bestFit="1" customWidth="1"/>
    <col min="3" max="3" width="12.81640625" style="1" bestFit="1" customWidth="1"/>
    <col min="4" max="4" width="13.81640625" style="1" bestFit="1" customWidth="1"/>
    <col min="5" max="5" width="45.453125" style="1" bestFit="1" customWidth="1"/>
    <col min="6" max="6" width="12.81640625" style="1" bestFit="1" customWidth="1"/>
    <col min="7" max="7" width="13.81640625" style="1" customWidth="1"/>
    <col min="8" max="16384" width="8.81640625" style="1"/>
  </cols>
  <sheetData>
    <row r="1" spans="2:14" ht="16.25" customHeight="1" thickBot="1" x14ac:dyDescent="0.4"/>
    <row r="2" spans="2:14" ht="19" thickBot="1" x14ac:dyDescent="0.4">
      <c r="B2" s="140" t="s">
        <v>139</v>
      </c>
      <c r="C2" s="141"/>
      <c r="E2" s="140" t="s">
        <v>139</v>
      </c>
      <c r="F2" s="141"/>
    </row>
    <row r="3" spans="2:14" x14ac:dyDescent="0.35">
      <c r="B3" s="138" t="s">
        <v>169</v>
      </c>
      <c r="C3" s="42" t="s">
        <v>65</v>
      </c>
      <c r="E3" s="142" t="s">
        <v>170</v>
      </c>
      <c r="F3" s="80" t="s">
        <v>65</v>
      </c>
    </row>
    <row r="4" spans="2:14" x14ac:dyDescent="0.35">
      <c r="B4" s="139"/>
      <c r="C4" s="43" t="s">
        <v>66</v>
      </c>
      <c r="E4" s="139"/>
      <c r="F4" s="43" t="s">
        <v>66</v>
      </c>
      <c r="J4" s="1" t="s">
        <v>191</v>
      </c>
    </row>
    <row r="5" spans="2:14" x14ac:dyDescent="0.35">
      <c r="B5" s="44" t="s">
        <v>67</v>
      </c>
      <c r="C5" s="85">
        <v>61294659.022799999</v>
      </c>
      <c r="E5" s="44"/>
      <c r="F5" s="45"/>
    </row>
    <row r="6" spans="2:14" x14ac:dyDescent="0.35">
      <c r="B6" s="46" t="s">
        <v>137</v>
      </c>
      <c r="C6" s="84">
        <v>528226.62545000005</v>
      </c>
      <c r="E6" s="46"/>
      <c r="F6" s="45"/>
    </row>
    <row r="7" spans="2:14" x14ac:dyDescent="0.35">
      <c r="B7" s="44" t="s">
        <v>138</v>
      </c>
      <c r="C7" s="84">
        <v>1877590.3519999997</v>
      </c>
      <c r="E7" s="44"/>
      <c r="F7" s="45"/>
    </row>
    <row r="8" spans="2:14" x14ac:dyDescent="0.35">
      <c r="B8" s="44" t="s">
        <v>68</v>
      </c>
      <c r="C8" s="89">
        <v>120000</v>
      </c>
      <c r="E8" s="44"/>
      <c r="F8" s="45"/>
    </row>
    <row r="9" spans="2:14" x14ac:dyDescent="0.35">
      <c r="B9" s="44" t="s">
        <v>69</v>
      </c>
      <c r="C9" s="89">
        <v>500000</v>
      </c>
      <c r="E9" s="44"/>
      <c r="F9" s="45"/>
    </row>
    <row r="10" spans="2:14" x14ac:dyDescent="0.35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5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5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5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5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4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4">
      <c r="B21" s="49" t="s">
        <v>81</v>
      </c>
      <c r="C21" s="50">
        <f>+C10+C13+C17+C20</f>
        <v>11052003.037815414</v>
      </c>
      <c r="E21" s="49"/>
      <c r="F21" s="50"/>
    </row>
    <row r="22" spans="2:6" x14ac:dyDescent="0.3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4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4">
      <c r="B33" s="51" t="s">
        <v>93</v>
      </c>
      <c r="C33" s="52">
        <f>+C21+C28+C32</f>
        <v>2384503.0378154144</v>
      </c>
      <c r="E33" s="51"/>
      <c r="F33" s="52"/>
    </row>
    <row r="34" spans="2:7" x14ac:dyDescent="0.3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4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4">
      <c r="B38" s="49" t="s">
        <v>98</v>
      </c>
      <c r="C38" s="50">
        <f>+C33+C37</f>
        <v>1359503.0378154144</v>
      </c>
      <c r="E38" s="28"/>
    </row>
    <row r="39" spans="2:7" x14ac:dyDescent="0.35">
      <c r="B39" s="44" t="s">
        <v>99</v>
      </c>
      <c r="C39" s="45">
        <v>-140133.03999999998</v>
      </c>
      <c r="E39" s="28"/>
    </row>
    <row r="40" spans="2:7" x14ac:dyDescent="0.35">
      <c r="B40" s="44" t="s">
        <v>100</v>
      </c>
      <c r="C40" s="45">
        <v>3543.6200000000003</v>
      </c>
      <c r="E40" s="28"/>
    </row>
    <row r="41" spans="2:7" ht="15" thickBot="1" x14ac:dyDescent="0.4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4">
      <c r="B42" s="49" t="s">
        <v>102</v>
      </c>
      <c r="C42" s="50">
        <f>+C38+C41</f>
        <v>1222913.6178154144</v>
      </c>
      <c r="E42" s="28"/>
    </row>
    <row r="43" spans="2:7" x14ac:dyDescent="0.35">
      <c r="B43" s="44" t="s">
        <v>103</v>
      </c>
      <c r="C43" s="45">
        <v>-130503.97</v>
      </c>
      <c r="E43" s="28"/>
    </row>
    <row r="44" spans="2:7" x14ac:dyDescent="0.35">
      <c r="B44" s="44" t="s">
        <v>104</v>
      </c>
      <c r="C44" s="45">
        <v>0</v>
      </c>
      <c r="E44" s="28"/>
    </row>
    <row r="45" spans="2:7" x14ac:dyDescent="0.35">
      <c r="B45" s="44" t="s">
        <v>105</v>
      </c>
      <c r="C45" s="45">
        <v>0</v>
      </c>
      <c r="E45" s="28"/>
    </row>
    <row r="46" spans="2:7" ht="15" thickBot="1" x14ac:dyDescent="0.4">
      <c r="B46" s="47" t="s">
        <v>106</v>
      </c>
      <c r="C46" s="48">
        <f>SUM(C43:C45)</f>
        <v>-130503.97</v>
      </c>
      <c r="E46" s="28"/>
    </row>
    <row r="47" spans="2:7" ht="15" thickBot="1" x14ac:dyDescent="0.4">
      <c r="B47" s="49" t="s">
        <v>107</v>
      </c>
      <c r="C47" s="50">
        <f>+C46+C42</f>
        <v>1092409.6478154145</v>
      </c>
      <c r="E47" s="28"/>
    </row>
    <row r="48" spans="2:7" ht="15" thickBot="1" x14ac:dyDescent="0.4">
      <c r="B48" s="44" t="s">
        <v>108</v>
      </c>
      <c r="C48" s="45">
        <v>-327722.8943446154</v>
      </c>
      <c r="E48" s="28"/>
    </row>
    <row r="49" spans="2:6" ht="15" thickBot="1" x14ac:dyDescent="0.4">
      <c r="B49" s="49" t="s">
        <v>109</v>
      </c>
      <c r="C49" s="50">
        <f>+C48+C47</f>
        <v>764686.75347079907</v>
      </c>
      <c r="E49" s="28"/>
    </row>
    <row r="50" spans="2:6" x14ac:dyDescent="0.35">
      <c r="B50" s="28"/>
      <c r="E50" s="28"/>
    </row>
    <row r="51" spans="2:6" x14ac:dyDescent="0.35">
      <c r="B51" s="28"/>
      <c r="E51" s="28"/>
    </row>
    <row r="52" spans="2:6" x14ac:dyDescent="0.35">
      <c r="B52" s="28"/>
      <c r="E52" s="28"/>
    </row>
    <row r="53" spans="2:6" x14ac:dyDescent="0.35">
      <c r="B53" s="28"/>
      <c r="E53" s="28"/>
    </row>
    <row r="54" spans="2:6" x14ac:dyDescent="0.35">
      <c r="B54" s="28"/>
      <c r="E54" s="28"/>
    </row>
    <row r="55" spans="2:6" x14ac:dyDescent="0.35">
      <c r="B55" s="28"/>
      <c r="E55" s="28"/>
    </row>
    <row r="56" spans="2:6" x14ac:dyDescent="0.35">
      <c r="B56" s="28"/>
      <c r="E56" s="28"/>
    </row>
    <row r="57" spans="2:6" x14ac:dyDescent="0.35">
      <c r="B57" s="28"/>
      <c r="C57" s="29"/>
      <c r="E57" s="28"/>
      <c r="F57" s="29"/>
    </row>
    <row r="58" spans="2:6" x14ac:dyDescent="0.35">
      <c r="B58" s="28"/>
      <c r="E58" s="28"/>
    </row>
    <row r="59" spans="2:6" x14ac:dyDescent="0.35">
      <c r="B59" s="28"/>
      <c r="E59" s="28"/>
    </row>
    <row r="60" spans="2:6" x14ac:dyDescent="0.35">
      <c r="B60" s="28"/>
      <c r="C60" s="29"/>
      <c r="E60" s="28"/>
      <c r="F60" s="29"/>
    </row>
    <row r="61" spans="2:6" x14ac:dyDescent="0.35">
      <c r="B61" s="28"/>
      <c r="E61" s="28"/>
    </row>
    <row r="62" spans="2:6" x14ac:dyDescent="0.3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abSelected="1" topLeftCell="A51" zoomScale="60" zoomScaleNormal="60" workbookViewId="0">
      <selection activeCell="H9" sqref="H9"/>
    </sheetView>
  </sheetViews>
  <sheetFormatPr defaultColWidth="8.81640625" defaultRowHeight="14.5" x14ac:dyDescent="0.35"/>
  <cols>
    <col min="1" max="1" width="2.81640625" style="1" customWidth="1"/>
    <col min="2" max="2" width="20" style="1" customWidth="1"/>
    <col min="3" max="3" width="15.36328125" style="1" customWidth="1"/>
    <col min="4" max="4" width="12.453125" style="1" bestFit="1" customWidth="1"/>
    <col min="5" max="5" width="19.7265625" style="1" customWidth="1"/>
    <col min="6" max="6" width="16.81640625" style="1" bestFit="1" customWidth="1"/>
    <col min="7" max="7" width="14.54296875" style="1" bestFit="1" customWidth="1"/>
    <col min="8" max="8" width="18" style="1" customWidth="1"/>
    <col min="9" max="9" width="13.453125" style="1" bestFit="1" customWidth="1"/>
    <col min="10" max="10" width="14.81640625" style="1" bestFit="1" customWidth="1"/>
    <col min="11" max="11" width="9.81640625" style="1" bestFit="1" customWidth="1"/>
    <col min="12" max="12" width="12.453125" style="1" bestFit="1" customWidth="1"/>
    <col min="13" max="14" width="13.54296875" style="1" bestFit="1" customWidth="1"/>
    <col min="15" max="16" width="16.81640625" style="1" bestFit="1" customWidth="1"/>
    <col min="17" max="17" width="18.81640625" style="1" bestFit="1" customWidth="1"/>
    <col min="18" max="18" width="8.81640625" style="1"/>
    <col min="19" max="19" width="8.81640625" style="1" customWidth="1"/>
    <col min="20" max="16384" width="8.81640625" style="1"/>
  </cols>
  <sheetData>
    <row r="1" spans="1:19" ht="15.65" customHeight="1" thickBot="1" x14ac:dyDescent="0.4"/>
    <row r="2" spans="1:19" ht="15" thickBot="1" x14ac:dyDescent="0.4">
      <c r="B2" s="143" t="s">
        <v>162</v>
      </c>
      <c r="C2" s="144"/>
      <c r="D2" s="144"/>
      <c r="E2" s="144"/>
      <c r="F2" s="145"/>
      <c r="H2" s="59"/>
      <c r="J2" s="143" t="s">
        <v>64</v>
      </c>
      <c r="K2" s="144"/>
      <c r="L2" s="144"/>
      <c r="M2" s="144"/>
      <c r="N2" s="144"/>
      <c r="O2" s="144"/>
      <c r="P2" s="144"/>
      <c r="Q2" s="145"/>
      <c r="S2" s="88"/>
    </row>
    <row r="3" spans="1:19" ht="15" thickBot="1" x14ac:dyDescent="0.4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4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</row>
    <row r="5" spans="1:19" ht="15" thickBot="1" x14ac:dyDescent="0.4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</row>
    <row r="6" spans="1:19" ht="15" thickBot="1" x14ac:dyDescent="0.4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</row>
    <row r="7" spans="1:19" ht="15" thickBot="1" x14ac:dyDescent="0.4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</row>
    <row r="8" spans="1:19" ht="15" thickBot="1" x14ac:dyDescent="0.4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</row>
    <row r="9" spans="1:19" ht="15" thickBot="1" x14ac:dyDescent="0.4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</row>
    <row r="10" spans="1:19" ht="15" thickBot="1" x14ac:dyDescent="0.4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</row>
    <row r="11" spans="1:19" x14ac:dyDescent="0.3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</row>
    <row r="12" spans="1:19" x14ac:dyDescent="0.3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9" x14ac:dyDescent="0.3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9" x14ac:dyDescent="0.3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9" x14ac:dyDescent="0.3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9" x14ac:dyDescent="0.3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4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4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</row>
    <row r="28" spans="2:17" x14ac:dyDescent="0.3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</row>
    <row r="29" spans="2:17" x14ac:dyDescent="0.3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</row>
    <row r="41" spans="2:17" x14ac:dyDescent="0.3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</row>
    <row r="42" spans="2:17" x14ac:dyDescent="0.3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</row>
    <row r="43" spans="2:17" x14ac:dyDescent="0.3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</row>
    <row r="44" spans="2:17" x14ac:dyDescent="0.3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</row>
    <row r="50" spans="2:17" x14ac:dyDescent="0.3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</row>
    <row r="51" spans="2:17" x14ac:dyDescent="0.3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</row>
    <row r="52" spans="2:17" x14ac:dyDescent="0.3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4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4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5">
      <c r="D80" s="1" t="s">
        <v>192</v>
      </c>
      <c r="E80" s="1" t="s">
        <v>193</v>
      </c>
      <c r="G80" s="2"/>
      <c r="H80" s="2"/>
    </row>
    <row r="81" spans="2:9" x14ac:dyDescent="0.35">
      <c r="B81" s="1" t="s">
        <v>152</v>
      </c>
      <c r="D81" s="88"/>
    </row>
    <row r="82" spans="2:9" x14ac:dyDescent="0.35">
      <c r="B82" s="1" t="s">
        <v>153</v>
      </c>
      <c r="H82" s="2"/>
    </row>
    <row r="83" spans="2:9" x14ac:dyDescent="0.35">
      <c r="B83" s="1" t="s">
        <v>155</v>
      </c>
      <c r="H83" s="2"/>
    </row>
    <row r="86" spans="2:9" x14ac:dyDescent="0.35">
      <c r="B86" s="1" t="s">
        <v>358</v>
      </c>
    </row>
    <row r="88" spans="2:9" x14ac:dyDescent="0.35">
      <c r="B88" s="1" t="s">
        <v>359</v>
      </c>
      <c r="C88" s="151">
        <f>SUM(D4:D27)</f>
        <v>240574.55000000005</v>
      </c>
      <c r="E88" s="1" t="s">
        <v>364</v>
      </c>
      <c r="F88" s="151" cm="1">
        <f t="array" ref="F88">SUM(D4:D27*E4:E27)</f>
        <v>528226.62545000017</v>
      </c>
      <c r="H88" s="1" t="s">
        <v>369</v>
      </c>
      <c r="I88" s="151" cm="1">
        <f t="array" ref="I88">SUM(D4:D27*F4:F27)</f>
        <v>369758.63781500002</v>
      </c>
    </row>
    <row r="89" spans="2:9" x14ac:dyDescent="0.35">
      <c r="B89" s="1" t="s">
        <v>360</v>
      </c>
      <c r="C89" s="151">
        <f>SUM(D28:D32)</f>
        <v>3223711</v>
      </c>
      <c r="E89" s="1" t="s">
        <v>365</v>
      </c>
      <c r="F89" s="151" cm="1">
        <f t="array" ref="F89">SUM(D28:D32*E28:E32)</f>
        <v>1877590.3519999997</v>
      </c>
      <c r="H89" s="1" t="s">
        <v>370</v>
      </c>
      <c r="I89" s="151" cm="1">
        <f t="array" ref="I89">SUM(D28:D32*F28:F32)</f>
        <v>1905226.9779699999</v>
      </c>
    </row>
    <row r="90" spans="2:9" x14ac:dyDescent="0.35">
      <c r="B90" s="1" t="s">
        <v>361</v>
      </c>
      <c r="C90" s="151">
        <f>SUM(D33:D40)</f>
        <v>18642746</v>
      </c>
      <c r="E90" s="1" t="s">
        <v>366</v>
      </c>
      <c r="F90" s="151" cm="1">
        <f t="array" ref="F90">SUM(D33:D40*E33:E40)</f>
        <v>39445016.509999998</v>
      </c>
      <c r="H90" s="1" t="s">
        <v>371</v>
      </c>
      <c r="I90" s="151" cm="1">
        <f t="array" ref="I90">SUM(D33:D40*F33:F40)</f>
        <v>27745756.957399998</v>
      </c>
    </row>
    <row r="91" spans="2:9" x14ac:dyDescent="0.35">
      <c r="B91" s="1" t="s">
        <v>362</v>
      </c>
      <c r="C91" s="151">
        <f>SUM(D41:D57)</f>
        <v>6692984</v>
      </c>
      <c r="E91" s="1" t="s">
        <v>367</v>
      </c>
      <c r="F91" s="151" cm="1">
        <f t="array" ref="F91">SUM(D41:D57*E41:E57)</f>
        <v>8028278.8500000006</v>
      </c>
      <c r="H91" s="1" t="s">
        <v>372</v>
      </c>
      <c r="I91" s="151" cm="1">
        <f t="array" ref="I91">SUM(D41:D57*F41:F57)</f>
        <v>5708079.1300799996</v>
      </c>
    </row>
    <row r="92" spans="2:9" x14ac:dyDescent="0.35">
      <c r="B92" s="1" t="s">
        <v>363</v>
      </c>
      <c r="C92" s="151">
        <f>SUM(D58:D76)</f>
        <v>9727258</v>
      </c>
      <c r="E92" s="1" t="s">
        <v>368</v>
      </c>
      <c r="F92" s="151" cm="1">
        <f t="array" ref="F92">SUM(D58:D76*E58:E76)</f>
        <v>13754406.152800001</v>
      </c>
      <c r="H92" s="1" t="s">
        <v>373</v>
      </c>
      <c r="I92" s="151" cm="1">
        <f t="array" ref="I92">SUM(D58:D76*F58:F76)</f>
        <v>11141983.814000003</v>
      </c>
    </row>
    <row r="93" spans="2:9" x14ac:dyDescent="0.35">
      <c r="C93" s="151"/>
      <c r="F93" s="151"/>
      <c r="I93" s="151"/>
    </row>
    <row r="94" spans="2:9" x14ac:dyDescent="0.35">
      <c r="B94" s="1" t="s">
        <v>374</v>
      </c>
      <c r="C94" s="151">
        <f>SUM(L4:L17)</f>
        <v>112952.51999999999</v>
      </c>
      <c r="E94" s="1" t="s">
        <v>364</v>
      </c>
      <c r="F94" s="151" cm="1">
        <f t="array" ref="F94">SUM(L4:L17*M4:M17)</f>
        <v>196584.24189999999</v>
      </c>
      <c r="H94" s="1" t="s">
        <v>369</v>
      </c>
      <c r="I94" s="151" cm="1">
        <f t="array" ref="I94">SUM(L4:L17*O4:O17)</f>
        <v>133298.61836846152</v>
      </c>
    </row>
    <row r="95" spans="2:9" x14ac:dyDescent="0.35">
      <c r="B95" s="1" t="s">
        <v>375</v>
      </c>
      <c r="C95" s="151">
        <f>SUM(L18:L22)</f>
        <v>3319903</v>
      </c>
      <c r="E95" s="1" t="s">
        <v>365</v>
      </c>
      <c r="F95" s="151" cm="1">
        <f t="array" ref="F95">SUM(L18:L22*M18:M22)</f>
        <v>2489618.9618799998</v>
      </c>
      <c r="H95" s="1" t="s">
        <v>370</v>
      </c>
      <c r="I95" s="151" cm="1">
        <f t="array" ref="I95">SUM(L18:L22*O18:O22)</f>
        <v>1908077.8488700001</v>
      </c>
    </row>
    <row r="96" spans="2:9" x14ac:dyDescent="0.35">
      <c r="B96" s="1" t="s">
        <v>376</v>
      </c>
      <c r="C96" s="151">
        <f>SUM(L23:L29)</f>
        <v>14624683</v>
      </c>
      <c r="E96" s="1" t="s">
        <v>366</v>
      </c>
      <c r="F96" s="151" cm="1">
        <f t="array" ref="F96">SUM(L23:L29*M23:M29)</f>
        <v>43389917.016709402</v>
      </c>
      <c r="H96" s="1" t="s">
        <v>371</v>
      </c>
      <c r="I96" s="151" cm="1">
        <f t="array" ref="I96">SUM(L23:L29*O23:O29)</f>
        <v>31393678.94368</v>
      </c>
    </row>
    <row r="97" spans="2:9" x14ac:dyDescent="0.35">
      <c r="B97" s="1" t="s">
        <v>377</v>
      </c>
      <c r="C97" s="151">
        <f>SUM(L30:L45)</f>
        <v>6470002</v>
      </c>
      <c r="E97" s="1" t="s">
        <v>367</v>
      </c>
      <c r="F97" s="151" cm="1">
        <f t="array" ref="F97">SUM(L30:L45*M30:M45)</f>
        <v>9386776.6740170922</v>
      </c>
      <c r="H97" s="1" t="s">
        <v>372</v>
      </c>
      <c r="I97" s="151" cm="1">
        <f t="array" ref="I97">SUM(L30:L45*O30:O45)</f>
        <v>7327637.1359800007</v>
      </c>
    </row>
    <row r="98" spans="2:9" x14ac:dyDescent="0.35">
      <c r="B98" s="1" t="s">
        <v>378</v>
      </c>
      <c r="C98" s="151">
        <f>SUM(L46:L64)</f>
        <v>9655208.9900000002</v>
      </c>
      <c r="E98" s="1" t="s">
        <v>368</v>
      </c>
      <c r="F98" s="151" cm="1">
        <f t="array" ref="F98">SUM(L46:L64*M46:M64)</f>
        <v>15581855.327799987</v>
      </c>
      <c r="H98" s="1" t="s">
        <v>373</v>
      </c>
      <c r="I98" s="151" cm="1">
        <f t="array" ref="I98">SUM(L46:L64*O46:O64)</f>
        <v>11997868.349595502</v>
      </c>
    </row>
    <row r="100" spans="2:9" x14ac:dyDescent="0.35">
      <c r="E100" s="1" t="s">
        <v>384</v>
      </c>
    </row>
    <row r="1048576" spans="16384:16384" x14ac:dyDescent="0.3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workbookViewId="0"/>
  </sheetViews>
  <sheetFormatPr defaultRowHeight="14.5" x14ac:dyDescent="0.35"/>
  <cols>
    <col min="2" max="2" width="18.81640625" bestFit="1" customWidth="1"/>
    <col min="3" max="3" width="10" customWidth="1"/>
    <col min="4" max="5" width="19.54296875" bestFit="1" customWidth="1"/>
    <col min="6" max="6" width="19.54296875" customWidth="1"/>
    <col min="7" max="7" width="16.453125" bestFit="1" customWidth="1"/>
    <col min="8" max="8" width="8.453125" bestFit="1" customWidth="1"/>
    <col min="9" max="9" width="38.54296875" bestFit="1" customWidth="1"/>
    <col min="11" max="11" width="33" customWidth="1"/>
    <col min="12" max="12" width="12.542968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5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5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5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5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5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5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5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5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5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5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5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5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5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5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5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5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5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5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5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5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5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5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5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5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5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5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5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5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5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5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5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5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5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5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5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5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5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5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5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5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5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5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5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5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5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5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5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5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5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5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5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5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5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5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5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5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5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5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5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5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5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5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5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5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5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5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/>
  </sheetViews>
  <sheetFormatPr defaultColWidth="9.1796875" defaultRowHeight="14.5" x14ac:dyDescent="0.35"/>
  <cols>
    <col min="1" max="1" width="2.81640625" style="3" customWidth="1"/>
    <col min="2" max="2" width="62.1796875" style="8" customWidth="1"/>
    <col min="3" max="3" width="23.54296875" style="3" bestFit="1" customWidth="1"/>
    <col min="4" max="14" width="10.54296875" style="3" customWidth="1"/>
    <col min="15" max="15" width="12.453125" style="3" bestFit="1" customWidth="1"/>
    <col min="16" max="16" width="11.54296875" style="3" customWidth="1"/>
    <col min="17" max="16384" width="9.1796875" style="3"/>
  </cols>
  <sheetData>
    <row r="1" spans="2:16" ht="15.65" customHeight="1" thickBot="1" x14ac:dyDescent="0.4"/>
    <row r="2" spans="2:16" ht="15" thickBot="1" x14ac:dyDescent="0.4">
      <c r="B2" s="146" t="s">
        <v>134</v>
      </c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8"/>
    </row>
    <row r="3" spans="2:16" x14ac:dyDescent="0.3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6.5" x14ac:dyDescent="0.3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5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5">
      <c r="B14" s="21"/>
      <c r="O14" s="23"/>
    </row>
    <row r="15" spans="2:16" x14ac:dyDescent="0.35">
      <c r="B15" s="21" t="s">
        <v>165</v>
      </c>
      <c r="O15" s="23"/>
    </row>
    <row r="16" spans="2:16" x14ac:dyDescent="0.35">
      <c r="B16" s="14" t="s">
        <v>183</v>
      </c>
      <c r="O16" s="23"/>
    </row>
    <row r="17" spans="2:16" x14ac:dyDescent="0.35">
      <c r="B17" s="21" t="s">
        <v>174</v>
      </c>
      <c r="O17" s="23"/>
      <c r="P17" s="3" t="s">
        <v>185</v>
      </c>
    </row>
    <row r="18" spans="2:16" x14ac:dyDescent="0.35">
      <c r="B18" s="21" t="s">
        <v>166</v>
      </c>
      <c r="O18" s="23"/>
    </row>
    <row r="19" spans="2:16" x14ac:dyDescent="0.35">
      <c r="B19" s="21" t="s">
        <v>182</v>
      </c>
      <c r="O19" s="23"/>
    </row>
    <row r="20" spans="2:16" x14ac:dyDescent="0.35">
      <c r="B20" s="21" t="s">
        <v>181</v>
      </c>
      <c r="O20" s="23"/>
    </row>
    <row r="21" spans="2:16" x14ac:dyDescent="0.35">
      <c r="B21" s="21"/>
      <c r="O21" s="23"/>
    </row>
    <row r="22" spans="2:16" x14ac:dyDescent="0.35">
      <c r="B22" s="12" t="s">
        <v>75</v>
      </c>
      <c r="O22" s="23"/>
    </row>
    <row r="23" spans="2:16" x14ac:dyDescent="0.35">
      <c r="B23" s="21" t="s">
        <v>171</v>
      </c>
      <c r="O23" s="23"/>
    </row>
    <row r="24" spans="2:16" x14ac:dyDescent="0.35">
      <c r="B24" s="21"/>
      <c r="O24" s="23"/>
    </row>
    <row r="25" spans="2:16" x14ac:dyDescent="0.35">
      <c r="B25" s="12" t="s">
        <v>76</v>
      </c>
      <c r="O25" s="23"/>
    </row>
    <row r="26" spans="2:16" x14ac:dyDescent="0.35">
      <c r="B26" s="21" t="s">
        <v>175</v>
      </c>
      <c r="O26" s="23"/>
    </row>
    <row r="27" spans="2:16" x14ac:dyDescent="0.35">
      <c r="B27" s="21"/>
      <c r="O27" s="23"/>
    </row>
    <row r="28" spans="2:16" x14ac:dyDescent="0.35">
      <c r="B28" s="12" t="s">
        <v>122</v>
      </c>
      <c r="O28" s="23"/>
    </row>
    <row r="29" spans="2:16" x14ac:dyDescent="0.35">
      <c r="B29" s="21" t="s">
        <v>161</v>
      </c>
      <c r="O29" s="23"/>
    </row>
    <row r="30" spans="2:16" x14ac:dyDescent="0.35">
      <c r="B30" s="21" t="s">
        <v>173</v>
      </c>
      <c r="O30" s="23"/>
    </row>
    <row r="31" spans="2:16" x14ac:dyDescent="0.35">
      <c r="B31" s="21" t="s">
        <v>123</v>
      </c>
      <c r="O31" s="23"/>
    </row>
    <row r="32" spans="2:16" x14ac:dyDescent="0.35">
      <c r="B32" s="21"/>
      <c r="O32" s="23"/>
    </row>
    <row r="33" spans="2:15" x14ac:dyDescent="0.35">
      <c r="B33" s="12" t="s">
        <v>121</v>
      </c>
      <c r="O33" s="23"/>
    </row>
    <row r="34" spans="2:15" ht="15" thickBot="1" x14ac:dyDescent="0.4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workbookViewId="0"/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123.1796875" style="1" bestFit="1" customWidth="1"/>
    <col min="3" max="16384" width="8.81640625" style="1"/>
  </cols>
  <sheetData>
    <row r="1" spans="2:2" ht="15" thickBot="1" x14ac:dyDescent="0.4"/>
    <row r="2" spans="2:2" ht="15" thickBot="1" x14ac:dyDescent="0.4">
      <c r="B2" s="41" t="s">
        <v>135</v>
      </c>
    </row>
    <row r="3" spans="2:2" x14ac:dyDescent="0.35">
      <c r="B3" s="76" t="s">
        <v>82</v>
      </c>
    </row>
    <row r="4" spans="2:2" x14ac:dyDescent="0.35">
      <c r="B4" s="33" t="s">
        <v>168</v>
      </c>
    </row>
    <row r="5" spans="2:2" x14ac:dyDescent="0.35">
      <c r="B5" s="33"/>
    </row>
    <row r="6" spans="2:2" x14ac:dyDescent="0.35">
      <c r="B6" s="76" t="s">
        <v>83</v>
      </c>
    </row>
    <row r="7" spans="2:2" x14ac:dyDescent="0.35">
      <c r="B7" s="33" t="s">
        <v>126</v>
      </c>
    </row>
    <row r="8" spans="2:2" x14ac:dyDescent="0.35">
      <c r="B8" s="33"/>
    </row>
    <row r="9" spans="2:2" x14ac:dyDescent="0.35">
      <c r="B9" s="76" t="s">
        <v>84</v>
      </c>
    </row>
    <row r="10" spans="2:2" x14ac:dyDescent="0.35">
      <c r="B10" s="32" t="s">
        <v>128</v>
      </c>
    </row>
    <row r="11" spans="2:2" x14ac:dyDescent="0.35">
      <c r="B11" s="32"/>
    </row>
    <row r="12" spans="2:2" x14ac:dyDescent="0.35">
      <c r="B12" s="76" t="s">
        <v>85</v>
      </c>
    </row>
    <row r="13" spans="2:2" x14ac:dyDescent="0.35">
      <c r="B13" s="32" t="s">
        <v>128</v>
      </c>
    </row>
    <row r="14" spans="2:2" x14ac:dyDescent="0.35">
      <c r="B14" s="33"/>
    </row>
    <row r="15" spans="2:2" x14ac:dyDescent="0.35">
      <c r="B15" s="76" t="s">
        <v>86</v>
      </c>
    </row>
    <row r="16" spans="2:2" x14ac:dyDescent="0.35">
      <c r="B16" s="32" t="s">
        <v>128</v>
      </c>
    </row>
    <row r="17" spans="2:2" x14ac:dyDescent="0.35">
      <c r="B17" s="33"/>
    </row>
    <row r="18" spans="2:2" x14ac:dyDescent="0.35">
      <c r="B18" s="76" t="s">
        <v>87</v>
      </c>
    </row>
    <row r="19" spans="2:2" x14ac:dyDescent="0.35">
      <c r="B19" s="32" t="s">
        <v>128</v>
      </c>
    </row>
    <row r="20" spans="2:2" x14ac:dyDescent="0.35">
      <c r="B20" s="77"/>
    </row>
    <row r="21" spans="2:2" x14ac:dyDescent="0.35">
      <c r="B21" s="76" t="s">
        <v>89</v>
      </c>
    </row>
    <row r="22" spans="2:2" x14ac:dyDescent="0.35">
      <c r="B22" s="32" t="s">
        <v>128</v>
      </c>
    </row>
    <row r="23" spans="2:2" x14ac:dyDescent="0.35">
      <c r="B23" s="33"/>
    </row>
    <row r="24" spans="2:2" x14ac:dyDescent="0.35">
      <c r="B24" s="76" t="s">
        <v>90</v>
      </c>
    </row>
    <row r="25" spans="2:2" x14ac:dyDescent="0.35">
      <c r="B25" s="32" t="s">
        <v>128</v>
      </c>
    </row>
    <row r="26" spans="2:2" x14ac:dyDescent="0.35">
      <c r="B26" s="33"/>
    </row>
    <row r="27" spans="2:2" x14ac:dyDescent="0.35">
      <c r="B27" s="76" t="s">
        <v>91</v>
      </c>
    </row>
    <row r="28" spans="2:2" ht="15" thickBot="1" x14ac:dyDescent="0.4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5" x14ac:dyDescent="0.35"/>
  <cols>
    <col min="2" max="2" width="41.81640625" bestFit="1" customWidth="1"/>
    <col min="3" max="3" width="11.81640625" bestFit="1" customWidth="1"/>
    <col min="4" max="4" width="54.54296875" bestFit="1" customWidth="1"/>
    <col min="6" max="6" width="9.1796875" customWidth="1"/>
  </cols>
  <sheetData>
    <row r="2" spans="2:4" x14ac:dyDescent="0.35">
      <c r="D2" t="s">
        <v>198</v>
      </c>
    </row>
    <row r="3" spans="2:4" x14ac:dyDescent="0.35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5">
      <c r="C4" s="96"/>
    </row>
    <row r="5" spans="2:4" x14ac:dyDescent="0.35">
      <c r="B5" t="s">
        <v>238</v>
      </c>
      <c r="C5" s="96">
        <f>-'CE 21-22'!F23-150000</f>
        <v>1050000</v>
      </c>
    </row>
    <row r="6" spans="2:4" x14ac:dyDescent="0.35">
      <c r="C6" s="96"/>
    </row>
    <row r="7" spans="2:4" x14ac:dyDescent="0.35">
      <c r="B7" t="s">
        <v>239</v>
      </c>
      <c r="C7" s="96">
        <f>-'CE 21-22'!F24*1.025</f>
        <v>307500</v>
      </c>
    </row>
    <row r="8" spans="2:4" x14ac:dyDescent="0.35">
      <c r="C8" s="96"/>
    </row>
    <row r="9" spans="2:4" x14ac:dyDescent="0.35">
      <c r="B9" t="s">
        <v>240</v>
      </c>
      <c r="C9" s="96">
        <f>-'CE 21-22'!F25*1.025</f>
        <v>151700</v>
      </c>
    </row>
    <row r="10" spans="2:4" x14ac:dyDescent="0.35">
      <c r="C10" s="96"/>
    </row>
    <row r="11" spans="2:4" x14ac:dyDescent="0.35">
      <c r="B11" t="s">
        <v>241</v>
      </c>
      <c r="C11" s="96">
        <f>-'CE 21-22'!F26*1.025</f>
        <v>309550</v>
      </c>
    </row>
    <row r="12" spans="2:4" x14ac:dyDescent="0.35">
      <c r="C12" s="96"/>
    </row>
    <row r="13" spans="2:4" x14ac:dyDescent="0.35">
      <c r="B13" t="s">
        <v>242</v>
      </c>
      <c r="C13" s="96">
        <f>-'CE 21-22'!F27*1.025</f>
        <v>212174.99999999997</v>
      </c>
    </row>
    <row r="14" spans="2:4" x14ac:dyDescent="0.35">
      <c r="C14" s="96"/>
    </row>
    <row r="15" spans="2:4" x14ac:dyDescent="0.35">
      <c r="B15" s="93" t="s">
        <v>246</v>
      </c>
      <c r="C15" s="97">
        <f>SUM(C13+C11+C9+C7+C5+C3)</f>
        <v>7625710.9100000001</v>
      </c>
    </row>
    <row r="16" spans="2:4" x14ac:dyDescent="0.35">
      <c r="C16" s="96"/>
    </row>
    <row r="17" spans="2:3" x14ac:dyDescent="0.35">
      <c r="C17" s="96"/>
    </row>
    <row r="18" spans="2:3" x14ac:dyDescent="0.35">
      <c r="B18" t="s">
        <v>243</v>
      </c>
      <c r="C18" s="96">
        <f>-'CE 21-22'!F29*1.025</f>
        <v>563750</v>
      </c>
    </row>
    <row r="19" spans="2:3" x14ac:dyDescent="0.35">
      <c r="C19" s="96"/>
    </row>
    <row r="20" spans="2:3" x14ac:dyDescent="0.35">
      <c r="B20" s="94" t="s">
        <v>244</v>
      </c>
      <c r="C20" s="96">
        <f>-'CE 21-22'!F30*1.025</f>
        <v>307500</v>
      </c>
    </row>
    <row r="21" spans="2:3" x14ac:dyDescent="0.35">
      <c r="C21" s="96"/>
    </row>
    <row r="22" spans="2:3" x14ac:dyDescent="0.35">
      <c r="B22" t="s">
        <v>245</v>
      </c>
      <c r="C22" s="96">
        <f>-'CE 21-22'!F31*1.025</f>
        <v>102499.99999999999</v>
      </c>
    </row>
    <row r="23" spans="2:3" x14ac:dyDescent="0.35">
      <c r="C23" s="96"/>
    </row>
    <row r="24" spans="2:3" x14ac:dyDescent="0.35">
      <c r="B24" s="93" t="s">
        <v>247</v>
      </c>
      <c r="C24" s="97">
        <f>SUM(C18+C20+C22)</f>
        <v>973750</v>
      </c>
    </row>
    <row r="25" spans="2:3" x14ac:dyDescent="0.35">
      <c r="C25" s="96"/>
    </row>
    <row r="26" spans="2:3" x14ac:dyDescent="0.35">
      <c r="C26" s="96"/>
    </row>
    <row r="27" spans="2:3" x14ac:dyDescent="0.35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workbookViewId="0"/>
  </sheetViews>
  <sheetFormatPr defaultColWidth="8.81640625" defaultRowHeight="14.5" x14ac:dyDescent="0.35"/>
  <cols>
    <col min="1" max="1" width="2.81640625" style="1" customWidth="1"/>
    <col min="2" max="2" width="70.453125" style="1" bestFit="1" customWidth="1"/>
    <col min="3" max="16384" width="8.81640625" style="1"/>
  </cols>
  <sheetData>
    <row r="1" spans="2:9" ht="15" thickBot="1" x14ac:dyDescent="0.4"/>
    <row r="2" spans="2:9" ht="15" thickBot="1" x14ac:dyDescent="0.4">
      <c r="B2" s="41" t="s">
        <v>136</v>
      </c>
    </row>
    <row r="3" spans="2:9" x14ac:dyDescent="0.35">
      <c r="B3" s="31" t="s">
        <v>94</v>
      </c>
    </row>
    <row r="4" spans="2:9" x14ac:dyDescent="0.35">
      <c r="B4" s="95" t="s">
        <v>176</v>
      </c>
      <c r="C4" s="1" t="s">
        <v>186</v>
      </c>
    </row>
    <row r="5" spans="2:9" x14ac:dyDescent="0.35">
      <c r="B5" s="32"/>
      <c r="C5" s="1" t="s">
        <v>187</v>
      </c>
    </row>
    <row r="6" spans="2:9" x14ac:dyDescent="0.35">
      <c r="B6" s="31" t="s">
        <v>95</v>
      </c>
      <c r="C6" s="1" t="s">
        <v>188</v>
      </c>
    </row>
    <row r="7" spans="2:9" x14ac:dyDescent="0.35">
      <c r="B7" s="32" t="s">
        <v>127</v>
      </c>
    </row>
    <row r="8" spans="2:9" x14ac:dyDescent="0.35">
      <c r="B8" s="32"/>
    </row>
    <row r="9" spans="2:9" x14ac:dyDescent="0.35">
      <c r="B9" s="31" t="s">
        <v>96</v>
      </c>
    </row>
    <row r="10" spans="2:9" x14ac:dyDescent="0.35">
      <c r="B10" s="33" t="s">
        <v>130</v>
      </c>
    </row>
    <row r="11" spans="2:9" x14ac:dyDescent="0.35">
      <c r="B11" s="33"/>
    </row>
    <row r="12" spans="2:9" x14ac:dyDescent="0.35">
      <c r="B12" s="31" t="s">
        <v>99</v>
      </c>
    </row>
    <row r="13" spans="2:9" x14ac:dyDescent="0.35">
      <c r="B13" s="32" t="s">
        <v>160</v>
      </c>
      <c r="C13" s="1" t="s">
        <v>189</v>
      </c>
      <c r="I13" s="1" t="s">
        <v>190</v>
      </c>
    </row>
    <row r="14" spans="2:9" x14ac:dyDescent="0.35">
      <c r="B14" s="32"/>
    </row>
    <row r="15" spans="2:9" x14ac:dyDescent="0.35">
      <c r="B15" s="31" t="s">
        <v>100</v>
      </c>
    </row>
    <row r="16" spans="2:9" x14ac:dyDescent="0.35">
      <c r="B16" s="32" t="s">
        <v>131</v>
      </c>
    </row>
    <row r="17" spans="2:2" x14ac:dyDescent="0.35">
      <c r="B17" s="32"/>
    </row>
    <row r="18" spans="2:2" x14ac:dyDescent="0.35">
      <c r="B18" s="31" t="s">
        <v>103</v>
      </c>
    </row>
    <row r="19" spans="2:2" x14ac:dyDescent="0.35">
      <c r="B19" s="32" t="s">
        <v>132</v>
      </c>
    </row>
    <row r="20" spans="2:2" x14ac:dyDescent="0.35">
      <c r="B20" s="32"/>
    </row>
    <row r="21" spans="2:2" x14ac:dyDescent="0.35">
      <c r="B21" s="31" t="s">
        <v>104</v>
      </c>
    </row>
    <row r="22" spans="2:2" x14ac:dyDescent="0.35">
      <c r="B22" s="32" t="s">
        <v>133</v>
      </c>
    </row>
    <row r="23" spans="2:2" x14ac:dyDescent="0.35">
      <c r="B23" s="32"/>
    </row>
    <row r="24" spans="2:2" x14ac:dyDescent="0.35">
      <c r="B24" s="31" t="s">
        <v>105</v>
      </c>
    </row>
    <row r="25" spans="2:2" x14ac:dyDescent="0.35">
      <c r="B25" s="33" t="s">
        <v>129</v>
      </c>
    </row>
    <row r="26" spans="2:2" x14ac:dyDescent="0.35">
      <c r="B26" s="33"/>
    </row>
    <row r="27" spans="2:2" x14ac:dyDescent="0.35">
      <c r="B27" s="31" t="s">
        <v>108</v>
      </c>
    </row>
    <row r="28" spans="2:2" ht="15" thickBot="1" x14ac:dyDescent="0.4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workbookViewId="0"/>
  </sheetViews>
  <sheetFormatPr defaultRowHeight="14.5" x14ac:dyDescent="0.35"/>
  <cols>
    <col min="2" max="2" width="41.81640625" bestFit="1" customWidth="1"/>
    <col min="3" max="3" width="12.81640625" bestFit="1" customWidth="1"/>
    <col min="4" max="4" width="75.453125" bestFit="1" customWidth="1"/>
    <col min="5" max="5" width="34" customWidth="1"/>
  </cols>
  <sheetData>
    <row r="1" spans="1:4" x14ac:dyDescent="0.35">
      <c r="A1" s="96"/>
      <c r="B1" s="96"/>
      <c r="C1" s="96"/>
      <c r="D1" s="96"/>
    </row>
    <row r="2" spans="1:4" x14ac:dyDescent="0.35">
      <c r="A2" s="96"/>
      <c r="B2" s="96"/>
      <c r="C2" s="96"/>
      <c r="D2" s="96" t="s">
        <v>253</v>
      </c>
    </row>
    <row r="3" spans="1:4" x14ac:dyDescent="0.35">
      <c r="A3" s="96"/>
      <c r="B3" s="96" t="s">
        <v>254</v>
      </c>
      <c r="C3" s="96">
        <f>-'CE 21-22'!F34</f>
        <v>200000</v>
      </c>
      <c r="D3" s="96"/>
    </row>
    <row r="4" spans="1:4" x14ac:dyDescent="0.35">
      <c r="A4" s="96"/>
      <c r="B4" s="96"/>
      <c r="C4" s="96"/>
      <c r="D4" s="96"/>
    </row>
    <row r="5" spans="1:4" x14ac:dyDescent="0.35">
      <c r="A5" s="96"/>
      <c r="B5" s="96" t="s">
        <v>255</v>
      </c>
      <c r="C5" s="96">
        <f>-'CE 21-22'!F35 +C23*C24</f>
        <v>796875</v>
      </c>
      <c r="D5" s="96"/>
    </row>
    <row r="6" spans="1:4" x14ac:dyDescent="0.35">
      <c r="A6" s="96"/>
      <c r="B6" s="96"/>
      <c r="C6" s="96"/>
      <c r="D6" s="96"/>
    </row>
    <row r="7" spans="1:4" x14ac:dyDescent="0.35">
      <c r="A7" s="96"/>
      <c r="B7" s="96" t="s">
        <v>256</v>
      </c>
      <c r="C7" s="96">
        <v>0</v>
      </c>
      <c r="D7" s="96"/>
    </row>
    <row r="8" spans="1:4" x14ac:dyDescent="0.35">
      <c r="A8" s="96"/>
      <c r="B8" s="96"/>
      <c r="C8" s="96"/>
      <c r="D8" s="96"/>
    </row>
    <row r="9" spans="1:4" x14ac:dyDescent="0.35">
      <c r="A9" s="96"/>
      <c r="B9" s="96" t="s">
        <v>257</v>
      </c>
      <c r="C9" s="96">
        <f>(3000000*0.05*7/12)</f>
        <v>87500</v>
      </c>
      <c r="D9" s="96"/>
    </row>
    <row r="10" spans="1:4" x14ac:dyDescent="0.35">
      <c r="A10" s="96"/>
      <c r="B10" s="96"/>
      <c r="C10" s="96"/>
      <c r="D10" s="96"/>
    </row>
    <row r="11" spans="1:4" x14ac:dyDescent="0.35">
      <c r="A11" s="96"/>
      <c r="B11" s="96" t="s">
        <v>258</v>
      </c>
      <c r="C11" s="96">
        <v>0</v>
      </c>
      <c r="D11" s="96"/>
    </row>
    <row r="12" spans="1:4" x14ac:dyDescent="0.35">
      <c r="A12" s="96"/>
      <c r="B12" s="96"/>
      <c r="C12" s="96"/>
      <c r="D12" s="96"/>
    </row>
    <row r="13" spans="1:4" x14ac:dyDescent="0.35">
      <c r="A13" s="96"/>
      <c r="B13" s="96" t="s">
        <v>259</v>
      </c>
      <c r="C13" s="96">
        <v>0</v>
      </c>
      <c r="D13" s="96"/>
    </row>
    <row r="14" spans="1:4" x14ac:dyDescent="0.35">
      <c r="A14" s="96"/>
      <c r="B14" s="96"/>
      <c r="C14" s="96"/>
      <c r="D14" s="96"/>
    </row>
    <row r="15" spans="1:4" x14ac:dyDescent="0.35">
      <c r="A15" s="96"/>
      <c r="B15" s="96" t="s">
        <v>260</v>
      </c>
      <c r="C15" s="96">
        <v>0</v>
      </c>
      <c r="D15" s="96"/>
    </row>
    <row r="16" spans="1:4" x14ac:dyDescent="0.35">
      <c r="A16" s="96"/>
      <c r="B16" s="96"/>
      <c r="C16" s="96"/>
      <c r="D16" s="96"/>
    </row>
    <row r="17" spans="1:4" x14ac:dyDescent="0.35">
      <c r="A17" s="96"/>
      <c r="B17" s="96" t="s">
        <v>261</v>
      </c>
      <c r="C17" s="96">
        <v>0</v>
      </c>
      <c r="D17" s="96"/>
    </row>
    <row r="18" spans="1:4" x14ac:dyDescent="0.35">
      <c r="A18" s="96"/>
      <c r="B18" s="96"/>
      <c r="C18" s="96"/>
      <c r="D18" s="96"/>
    </row>
    <row r="19" spans="1:4" x14ac:dyDescent="0.35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5">
      <c r="B23" t="s">
        <v>277</v>
      </c>
      <c r="C23">
        <v>750000</v>
      </c>
    </row>
    <row r="24" spans="1:4" x14ac:dyDescent="0.35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workbookViewId="0"/>
  </sheetViews>
  <sheetFormatPr defaultRowHeight="14.5" x14ac:dyDescent="0.35"/>
  <cols>
    <col min="2" max="2" width="39.1796875" bestFit="1" customWidth="1"/>
    <col min="3" max="3" width="12.81640625" bestFit="1" customWidth="1"/>
    <col min="4" max="4" width="11.08984375" bestFit="1" customWidth="1"/>
    <col min="5" max="5" width="49.54296875" bestFit="1" customWidth="1"/>
    <col min="6" max="6" width="12.81640625" bestFit="1" customWidth="1"/>
    <col min="7" max="7" width="59.81640625" bestFit="1" customWidth="1"/>
    <col min="8" max="8" width="12.81640625" bestFit="1" customWidth="1"/>
  </cols>
  <sheetData>
    <row r="1" spans="2:16" ht="15" thickBot="1" x14ac:dyDescent="0.4"/>
    <row r="2" spans="2:16" ht="18.5" x14ac:dyDescent="0.35">
      <c r="B2" s="140" t="s">
        <v>139</v>
      </c>
      <c r="C2" s="141"/>
      <c r="D2" t="s">
        <v>303</v>
      </c>
      <c r="E2" s="140" t="s">
        <v>139</v>
      </c>
      <c r="F2" s="141"/>
    </row>
    <row r="3" spans="2:16" ht="14.5" customHeight="1" x14ac:dyDescent="0.35">
      <c r="B3" s="138" t="s">
        <v>290</v>
      </c>
      <c r="C3" s="42" t="s">
        <v>65</v>
      </c>
      <c r="E3" s="138" t="s">
        <v>169</v>
      </c>
      <c r="F3" s="42" t="s">
        <v>65</v>
      </c>
      <c r="P3" t="s">
        <v>292</v>
      </c>
    </row>
    <row r="4" spans="2:16" ht="14.5" customHeight="1" x14ac:dyDescent="0.35">
      <c r="B4" s="139"/>
      <c r="C4" s="43" t="s">
        <v>66</v>
      </c>
      <c r="E4" s="139"/>
      <c r="F4" s="43" t="s">
        <v>66</v>
      </c>
    </row>
    <row r="5" spans="2:16" ht="14.5" customHeight="1" x14ac:dyDescent="0.35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5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5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5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5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5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5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5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5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5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5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5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5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5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5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4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4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5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5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5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5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5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5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5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5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5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5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4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4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5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5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5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4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4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5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5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4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4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5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5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5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4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4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4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4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5">
      <c r="C50" s="102"/>
    </row>
    <row r="53" spans="2:6" x14ac:dyDescent="0.35">
      <c r="E53" s="102"/>
    </row>
    <row r="54" spans="2:6" x14ac:dyDescent="0.35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I142"/>
  <sheetViews>
    <sheetView workbookViewId="0"/>
  </sheetViews>
  <sheetFormatPr defaultRowHeight="14.5" x14ac:dyDescent="0.35"/>
  <cols>
    <col min="2" max="2" width="34" customWidth="1"/>
    <col min="3" max="4" width="20.1796875" customWidth="1"/>
    <col min="5" max="5" width="22" customWidth="1"/>
    <col min="6" max="6" width="21.90625" customWidth="1"/>
    <col min="7" max="7" width="21.36328125" customWidth="1"/>
    <col min="8" max="8" width="22.81640625" customWidth="1"/>
    <col min="9" max="9" width="27.1796875" customWidth="1"/>
  </cols>
  <sheetData>
    <row r="2" spans="2:9" x14ac:dyDescent="0.35">
      <c r="B2" s="150" t="s">
        <v>304</v>
      </c>
      <c r="C2" s="150"/>
      <c r="D2" s="150"/>
      <c r="E2" s="131"/>
      <c r="F2" s="115" t="s">
        <v>124</v>
      </c>
      <c r="G2" s="115" t="s">
        <v>354</v>
      </c>
      <c r="H2" s="135" t="s">
        <v>311</v>
      </c>
      <c r="I2" t="s">
        <v>357</v>
      </c>
    </row>
    <row r="3" spans="2:9" x14ac:dyDescent="0.35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7">
        <f>C4/$C$16</f>
        <v>3.3043719893555163E-3</v>
      </c>
      <c r="H3" s="136">
        <f>G3*$C$18</f>
        <v>127308.44354485766</v>
      </c>
      <c r="I3" s="134">
        <f>C4/H3</f>
        <v>0.88723510283275675</v>
      </c>
    </row>
    <row r="4" spans="2:9" x14ac:dyDescent="0.35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2"/>
      <c r="F4" s="135" t="s">
        <v>116</v>
      </c>
      <c r="G4" s="137">
        <f>C5/$C$16</f>
        <v>9.7122175588267953E-2</v>
      </c>
      <c r="H4" s="136">
        <f>G4*$C$18</f>
        <v>3741852.6266603312</v>
      </c>
      <c r="I4" s="134">
        <f t="shared" ref="I4:I7" si="0">C5/H4</f>
        <v>0.88723510283275675</v>
      </c>
    </row>
    <row r="5" spans="2:9" x14ac:dyDescent="0.35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2"/>
      <c r="F5" s="135" t="s">
        <v>113</v>
      </c>
      <c r="G5" s="137">
        <f>C6/$C$16</f>
        <v>0.42783811161011548</v>
      </c>
      <c r="H5" s="136">
        <f>G5*$C$18</f>
        <v>16483435.961118348</v>
      </c>
      <c r="I5" s="134">
        <f t="shared" si="0"/>
        <v>0.88723510283275686</v>
      </c>
    </row>
    <row r="6" spans="2:9" x14ac:dyDescent="0.35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2"/>
      <c r="F6" s="135" t="s">
        <v>208</v>
      </c>
      <c r="G6" s="137">
        <f>C7/$C$16</f>
        <v>0.18927681631073101</v>
      </c>
      <c r="H6" s="136">
        <f>G6*$C$18</f>
        <v>7292319.678676635</v>
      </c>
      <c r="I6" s="134">
        <f t="shared" si="0"/>
        <v>0.88723510283275675</v>
      </c>
    </row>
    <row r="7" spans="2:9" x14ac:dyDescent="0.35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2"/>
      <c r="F7" s="135" t="s">
        <v>209</v>
      </c>
      <c r="G7" s="137">
        <f>C8/$C$16</f>
        <v>0.28245852450153008</v>
      </c>
      <c r="H7" s="136">
        <f>G7*$C$18</f>
        <v>10882356.839999827</v>
      </c>
      <c r="I7" s="134">
        <f t="shared" si="0"/>
        <v>0.88723510283275675</v>
      </c>
    </row>
    <row r="8" spans="2:9" x14ac:dyDescent="0.35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2"/>
    </row>
    <row r="9" spans="2:9" x14ac:dyDescent="0.35">
      <c r="B9" s="152" t="s">
        <v>162</v>
      </c>
      <c r="C9" s="152"/>
      <c r="D9" s="152"/>
      <c r="E9" s="132"/>
      <c r="F9" s="135" t="s">
        <v>379</v>
      </c>
      <c r="G9" s="154">
        <f>SUM(G3:G7)</f>
        <v>1</v>
      </c>
      <c r="H9" s="155">
        <f>SUM(H3:H7)</f>
        <v>38527273.549999997</v>
      </c>
    </row>
    <row r="10" spans="2:9" x14ac:dyDescent="0.35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2"/>
    </row>
    <row r="11" spans="2:9" x14ac:dyDescent="0.35">
      <c r="B11" s="113" t="s">
        <v>116</v>
      </c>
      <c r="C11" s="114">
        <f>Ricavi!C89</f>
        <v>3223711</v>
      </c>
      <c r="D11" s="114">
        <f>Ricavi!F89</f>
        <v>1877590.3519999997</v>
      </c>
      <c r="E11" s="132"/>
    </row>
    <row r="12" spans="2:9" x14ac:dyDescent="0.35">
      <c r="B12" s="113" t="s">
        <v>204</v>
      </c>
      <c r="C12" s="114">
        <f>Ricavi!C90</f>
        <v>18642746</v>
      </c>
      <c r="D12" s="114">
        <f>Ricavi!F90</f>
        <v>39445016.509999998</v>
      </c>
      <c r="E12" s="132"/>
    </row>
    <row r="13" spans="2:9" x14ac:dyDescent="0.35">
      <c r="B13" s="113" t="s">
        <v>205</v>
      </c>
      <c r="C13" s="114">
        <f>Ricavi!C91</f>
        <v>6692984</v>
      </c>
      <c r="D13" s="114">
        <f>Ricavi!F91</f>
        <v>8028278.8500000006</v>
      </c>
      <c r="E13" s="132"/>
    </row>
    <row r="14" spans="2:9" x14ac:dyDescent="0.35">
      <c r="B14" s="113" t="s">
        <v>206</v>
      </c>
      <c r="C14" s="114">
        <f>Ricavi!C92</f>
        <v>9727258</v>
      </c>
      <c r="D14" s="114">
        <f>Ricavi!F92</f>
        <v>13754406.152800001</v>
      </c>
      <c r="E14" s="132"/>
    </row>
    <row r="15" spans="2:9" x14ac:dyDescent="0.35">
      <c r="B15" s="153"/>
      <c r="C15" s="132"/>
      <c r="D15" s="132"/>
      <c r="E15" s="132"/>
    </row>
    <row r="16" spans="2:9" x14ac:dyDescent="0.35">
      <c r="B16" t="s">
        <v>356</v>
      </c>
      <c r="C16" s="133">
        <f>SUM(C4:C8)</f>
        <v>34182749.509999998</v>
      </c>
      <c r="D16" s="133">
        <f>SUM(D4:D8)</f>
        <v>71044752.22230649</v>
      </c>
      <c r="H16" s="136"/>
    </row>
    <row r="17" spans="1:9" x14ac:dyDescent="0.35">
      <c r="E17" s="128"/>
    </row>
    <row r="18" spans="1:9" x14ac:dyDescent="0.35">
      <c r="B18" s="115" t="s">
        <v>355</v>
      </c>
      <c r="C18" s="156">
        <f>SUM(C10:C14)</f>
        <v>38527273.549999997</v>
      </c>
    </row>
    <row r="20" spans="1:9" x14ac:dyDescent="0.35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312</v>
      </c>
      <c r="H20" s="116" t="s">
        <v>313</v>
      </c>
      <c r="I20" s="116" t="s">
        <v>314</v>
      </c>
    </row>
    <row r="21" spans="1:9" x14ac:dyDescent="0.35">
      <c r="A21" s="149" t="s">
        <v>315</v>
      </c>
      <c r="B21" s="117" t="s">
        <v>316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/>
      <c r="I21" s="118"/>
    </row>
    <row r="22" spans="1:9" x14ac:dyDescent="0.35">
      <c r="A22" s="149"/>
      <c r="B22" s="117" t="s">
        <v>317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25" si="1">F22-C22</f>
        <v>421949.62666033115</v>
      </c>
      <c r="H22" s="118"/>
      <c r="I22" s="118"/>
    </row>
    <row r="23" spans="1:9" x14ac:dyDescent="0.35">
      <c r="A23" s="149"/>
      <c r="B23" s="117" t="s">
        <v>318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1"/>
        <v>1858752.9611183479</v>
      </c>
      <c r="H23" s="118"/>
      <c r="I23" s="118"/>
    </row>
    <row r="24" spans="1:9" x14ac:dyDescent="0.35">
      <c r="A24" s="149"/>
      <c r="B24" s="117" t="s">
        <v>319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1"/>
        <v>822317.67867663503</v>
      </c>
      <c r="H24" s="118"/>
      <c r="I24" s="118"/>
    </row>
    <row r="25" spans="1:9" x14ac:dyDescent="0.35">
      <c r="A25" s="149"/>
      <c r="B25" s="117" t="s">
        <v>320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1"/>
        <v>1227147.8499998264</v>
      </c>
      <c r="H25" s="118"/>
      <c r="I25" s="118"/>
    </row>
    <row r="26" spans="1:9" x14ac:dyDescent="0.35">
      <c r="A26" s="115"/>
      <c r="B26" s="119"/>
      <c r="C26" s="120"/>
      <c r="D26" s="120"/>
      <c r="E26" s="120"/>
      <c r="F26" s="120"/>
      <c r="G26" s="120"/>
      <c r="H26" s="120"/>
      <c r="I26" s="120"/>
    </row>
    <row r="27" spans="1:9" x14ac:dyDescent="0.35">
      <c r="A27" s="149" t="s">
        <v>321</v>
      </c>
      <c r="B27" s="117" t="s">
        <v>322</v>
      </c>
      <c r="C27" s="121" t="s">
        <v>380</v>
      </c>
      <c r="D27" s="118" t="s">
        <v>382</v>
      </c>
      <c r="E27" s="118"/>
      <c r="F27" s="121" t="s">
        <v>380</v>
      </c>
      <c r="G27" s="118"/>
      <c r="H27" s="118"/>
      <c r="I27" s="118"/>
    </row>
    <row r="28" spans="1:9" x14ac:dyDescent="0.35">
      <c r="A28" s="149"/>
      <c r="B28" s="117" t="s">
        <v>323</v>
      </c>
      <c r="C28" s="118" t="s">
        <v>381</v>
      </c>
      <c r="D28" s="118" t="s">
        <v>383</v>
      </c>
      <c r="E28" s="118"/>
      <c r="F28" s="118" t="s">
        <v>381</v>
      </c>
      <c r="G28" s="118"/>
      <c r="H28" s="118"/>
      <c r="I28" s="118"/>
    </row>
    <row r="29" spans="1:9" x14ac:dyDescent="0.35">
      <c r="A29" s="149"/>
      <c r="B29" s="117" t="s">
        <v>324</v>
      </c>
      <c r="C29" s="118"/>
      <c r="D29" s="118"/>
      <c r="E29" s="118"/>
      <c r="F29" s="118"/>
      <c r="G29" s="118"/>
      <c r="H29" s="118"/>
      <c r="I29" s="118"/>
    </row>
    <row r="30" spans="1:9" x14ac:dyDescent="0.35">
      <c r="A30" s="149"/>
      <c r="B30" s="117" t="s">
        <v>325</v>
      </c>
      <c r="C30" s="118"/>
      <c r="D30" s="118"/>
      <c r="E30" s="118"/>
      <c r="F30" s="118"/>
      <c r="G30" s="118"/>
      <c r="H30" s="118"/>
      <c r="I30" s="118"/>
    </row>
    <row r="31" spans="1:9" x14ac:dyDescent="0.35">
      <c r="A31" s="149"/>
      <c r="B31" s="117" t="s">
        <v>326</v>
      </c>
      <c r="C31" s="118"/>
      <c r="D31" s="118"/>
      <c r="E31" s="118"/>
      <c r="F31" s="118"/>
      <c r="G31" s="118"/>
      <c r="H31" s="118"/>
      <c r="I31" s="118"/>
    </row>
    <row r="32" spans="1:9" x14ac:dyDescent="0.35">
      <c r="A32" s="115"/>
      <c r="B32" s="122"/>
      <c r="C32" s="120"/>
      <c r="D32" s="120"/>
      <c r="E32" s="120"/>
      <c r="F32" s="120"/>
      <c r="G32" s="120"/>
      <c r="H32" s="120"/>
      <c r="I32" s="120"/>
    </row>
    <row r="33" spans="1:9" x14ac:dyDescent="0.35">
      <c r="A33" s="115"/>
      <c r="B33" s="115" t="s">
        <v>327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/>
      <c r="G33" s="118"/>
      <c r="H33" s="118"/>
      <c r="I33" s="118"/>
    </row>
    <row r="34" spans="1:9" x14ac:dyDescent="0.35">
      <c r="B34" s="117" t="s">
        <v>328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 cm="1">
        <f t="array" ref="F34">SUMPRODUCT(--ISNUMBER((SEARCH("MP", Ricavi!$B$4:$B$76))), Ricavi!$D$4:$D$76/I4, Ricavi!$M$4:$M$76)</f>
        <v>795930.12512431026</v>
      </c>
      <c r="G34" s="123"/>
      <c r="H34" s="123"/>
      <c r="I34" s="123"/>
    </row>
    <row r="35" spans="1:9" x14ac:dyDescent="0.35">
      <c r="B35" s="117" t="s">
        <v>329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 cm="1">
        <f t="array" ref="F35">SUMPRODUCT(--ISNUMBER((SEARCH("MP", Ricavi!$B$4:$B$76))), Ricavi!$D$4:$D$76/I5, Ricavi!$M$4:$M$76)</f>
        <v>795930.12512431026</v>
      </c>
      <c r="G35" s="123"/>
      <c r="H35" s="123"/>
      <c r="I35" s="123"/>
    </row>
    <row r="36" spans="1:9" x14ac:dyDescent="0.35">
      <c r="B36" s="117" t="s">
        <v>330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 cm="1">
        <f t="array" ref="F36">SUMPRODUCT(--ISNUMBER((SEARCH("MP", Ricavi!$B$4:$B$76))), Ricavi!$D$4:$D$76/I6, Ricavi!$M$4:$M$76)</f>
        <v>795930.12512431026</v>
      </c>
      <c r="G36" s="123"/>
      <c r="H36" s="123"/>
      <c r="I36" s="123"/>
    </row>
    <row r="37" spans="1:9" x14ac:dyDescent="0.35">
      <c r="B37" s="117" t="s">
        <v>331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 cm="1">
        <f t="array" ref="F37">SUMPRODUCT(--ISNUMBER((SEARCH("MP", Ricavi!$B$4:$B$76))), Ricavi!$D$4:$D$76/I7, Ricavi!$M$4:$M$76)</f>
        <v>795930.12512431026</v>
      </c>
      <c r="G37" s="123"/>
      <c r="H37" s="123"/>
      <c r="I37" s="123"/>
    </row>
    <row r="38" spans="1:9" x14ac:dyDescent="0.35">
      <c r="B38" s="124"/>
      <c r="C38" s="125"/>
      <c r="D38" s="125"/>
      <c r="E38" s="125"/>
      <c r="F38" s="125"/>
      <c r="G38" s="125"/>
      <c r="H38" s="125"/>
      <c r="I38" s="125"/>
    </row>
    <row r="39" spans="1:9" x14ac:dyDescent="0.35">
      <c r="B39" s="117" t="s">
        <v>332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/>
      <c r="G39" s="123"/>
      <c r="H39" s="123"/>
      <c r="I39" s="123"/>
    </row>
    <row r="40" spans="1:9" x14ac:dyDescent="0.35">
      <c r="B40" s="117" t="s">
        <v>327</v>
      </c>
      <c r="C40" s="118">
        <f>C33</f>
        <v>196584.24189999999</v>
      </c>
      <c r="D40" s="123">
        <f>D33</f>
        <v>528226.62545000017</v>
      </c>
      <c r="E40" s="118">
        <f t="shared" ref="E40:E101" si="2">D40-C40</f>
        <v>331642.38355000014</v>
      </c>
      <c r="F40" s="123"/>
      <c r="G40" s="123"/>
      <c r="H40" s="123"/>
      <c r="I40" s="123"/>
    </row>
    <row r="41" spans="1:9" x14ac:dyDescent="0.35">
      <c r="B41" s="117" t="s">
        <v>328</v>
      </c>
      <c r="C41" s="118">
        <f>C34</f>
        <v>2489618.9618799998</v>
      </c>
      <c r="D41" s="126">
        <f>D34</f>
        <v>1877590.3519999997</v>
      </c>
      <c r="E41" s="118">
        <f t="shared" si="2"/>
        <v>-612028.60988000012</v>
      </c>
      <c r="F41" s="123"/>
      <c r="G41" s="123"/>
      <c r="H41" s="123"/>
      <c r="I41" s="123"/>
    </row>
    <row r="42" spans="1:9" x14ac:dyDescent="0.35">
      <c r="B42" s="117" t="s">
        <v>333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2"/>
        <v>269729.36000000004</v>
      </c>
      <c r="F42" s="123"/>
      <c r="G42" s="123"/>
      <c r="H42" s="123"/>
      <c r="I42" s="123"/>
    </row>
    <row r="43" spans="1:9" x14ac:dyDescent="0.35">
      <c r="B43" s="117" t="s">
        <v>334</v>
      </c>
      <c r="C43" s="123">
        <v>0</v>
      </c>
      <c r="D43" s="123">
        <v>500000</v>
      </c>
      <c r="E43" s="118">
        <f t="shared" si="2"/>
        <v>500000</v>
      </c>
      <c r="F43" s="123"/>
      <c r="G43" s="123"/>
      <c r="H43" s="123"/>
      <c r="I43" s="123"/>
    </row>
    <row r="44" spans="1:9" x14ac:dyDescent="0.35">
      <c r="B44" s="119"/>
      <c r="C44" s="125"/>
      <c r="D44" s="125"/>
      <c r="E44" s="120"/>
      <c r="F44" s="125"/>
      <c r="G44" s="125"/>
      <c r="H44" s="125"/>
      <c r="I44" s="125"/>
    </row>
    <row r="45" spans="1:9" x14ac:dyDescent="0.35">
      <c r="B45" s="127" t="s">
        <v>335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2"/>
        <v>-6641504.3720564842</v>
      </c>
      <c r="F45" s="123"/>
      <c r="G45" s="123"/>
      <c r="H45" s="123"/>
      <c r="I45" s="123"/>
    </row>
    <row r="46" spans="1:9" x14ac:dyDescent="0.35">
      <c r="B46" s="119"/>
      <c r="C46" s="125"/>
      <c r="D46" s="125"/>
      <c r="E46" s="120"/>
      <c r="F46" s="125"/>
      <c r="G46" s="125"/>
      <c r="H46" s="125"/>
      <c r="I46" s="125"/>
    </row>
    <row r="47" spans="1:9" x14ac:dyDescent="0.35">
      <c r="B47" t="s">
        <v>336</v>
      </c>
      <c r="C47" s="123" cm="1">
        <f t="array" ref="C47">-SUM(RicaviBudget!D3:D63*RicaviBudget!F3:F63)</f>
        <v>-52760560.896493942</v>
      </c>
      <c r="D47" s="123" cm="1">
        <f t="array" ref="D47">-SUM(Ricavi!D4:D76*Ricavi!F4:F76)</f>
        <v>-46870805.517265007</v>
      </c>
      <c r="E47" s="118">
        <f t="shared" si="2"/>
        <v>5889755.3792289346</v>
      </c>
      <c r="F47" s="123"/>
      <c r="G47" s="123"/>
      <c r="H47" s="123"/>
      <c r="I47" s="123"/>
    </row>
    <row r="48" spans="1:9" x14ac:dyDescent="0.35">
      <c r="B48" t="s">
        <v>337</v>
      </c>
      <c r="C48" s="123">
        <v>0</v>
      </c>
      <c r="D48" s="123">
        <v>0</v>
      </c>
      <c r="E48" s="118">
        <f t="shared" si="2"/>
        <v>0</v>
      </c>
      <c r="F48" s="123"/>
      <c r="G48" s="123"/>
      <c r="H48" s="123"/>
      <c r="I48" s="123"/>
    </row>
    <row r="49" spans="2:9" x14ac:dyDescent="0.35">
      <c r="B49" s="119"/>
      <c r="C49" s="125"/>
      <c r="D49" s="125"/>
      <c r="E49" s="120"/>
      <c r="F49" s="125"/>
      <c r="G49" s="125"/>
      <c r="H49" s="125"/>
      <c r="I49" s="125"/>
    </row>
    <row r="50" spans="2:9" x14ac:dyDescent="0.35">
      <c r="B50" s="127" t="s">
        <v>338</v>
      </c>
      <c r="C50" s="123">
        <f>SUM(C47:C48)</f>
        <v>-52760560.896493942</v>
      </c>
      <c r="D50" s="123">
        <f>SUM(D47:D48)</f>
        <v>-46870805.517265007</v>
      </c>
      <c r="E50" s="118">
        <f t="shared" si="2"/>
        <v>5889755.3792289346</v>
      </c>
      <c r="F50" s="123"/>
      <c r="G50" s="123"/>
      <c r="H50" s="123"/>
      <c r="I50" s="123"/>
    </row>
    <row r="51" spans="2:9" x14ac:dyDescent="0.35">
      <c r="B51" s="119"/>
      <c r="C51" s="125"/>
      <c r="D51" s="125"/>
      <c r="E51" s="120"/>
      <c r="F51" s="125"/>
      <c r="G51" s="125"/>
      <c r="H51" s="125"/>
      <c r="I51" s="125"/>
    </row>
    <row r="52" spans="2:9" x14ac:dyDescent="0.35">
      <c r="B52" t="s">
        <v>339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2"/>
        <v>-706871.14175914275</v>
      </c>
      <c r="F52" s="128"/>
      <c r="G52" s="128"/>
    </row>
    <row r="53" spans="2:9" x14ac:dyDescent="0.35">
      <c r="B53" t="s">
        <v>228</v>
      </c>
      <c r="C53" s="128">
        <f>'CE Budget 2022'!C15</f>
        <v>-153750</v>
      </c>
      <c r="D53" s="128">
        <v>-175000</v>
      </c>
      <c r="E53" s="118">
        <f t="shared" si="2"/>
        <v>-21250</v>
      </c>
      <c r="F53" s="128"/>
      <c r="G53" s="128"/>
    </row>
    <row r="54" spans="2:9" x14ac:dyDescent="0.35">
      <c r="B54" t="s">
        <v>340</v>
      </c>
      <c r="C54" s="128">
        <f>'CE Budget 2022'!C16</f>
        <v>-449211.74630400003</v>
      </c>
      <c r="D54" s="128">
        <v>-519959.9495168</v>
      </c>
      <c r="E54" s="118">
        <f t="shared" si="2"/>
        <v>-70748.20321279997</v>
      </c>
      <c r="F54" s="128"/>
      <c r="G54" s="128"/>
    </row>
    <row r="55" spans="2:9" x14ac:dyDescent="0.35">
      <c r="B55" s="119"/>
      <c r="C55" s="125"/>
      <c r="D55" s="125"/>
      <c r="E55" s="120"/>
      <c r="F55" s="125"/>
      <c r="G55" s="125"/>
      <c r="H55" s="125"/>
      <c r="I55" s="125"/>
    </row>
    <row r="56" spans="2:9" x14ac:dyDescent="0.35">
      <c r="B56" s="127" t="s">
        <v>341</v>
      </c>
      <c r="C56" s="128">
        <f>SUM(C52:C54)</f>
        <v>-4048798.1001976328</v>
      </c>
      <c r="D56" s="128">
        <v>-4847667.4451695755</v>
      </c>
      <c r="E56" s="118">
        <f t="shared" si="2"/>
        <v>-798869.34497194272</v>
      </c>
      <c r="F56" s="128"/>
      <c r="G56" s="128"/>
    </row>
    <row r="57" spans="2:9" x14ac:dyDescent="0.35">
      <c r="B57" s="119"/>
      <c r="C57" s="125"/>
      <c r="D57" s="125"/>
      <c r="E57" s="120"/>
      <c r="F57" s="125"/>
      <c r="G57" s="125"/>
      <c r="H57" s="125"/>
      <c r="I57" s="125"/>
    </row>
    <row r="58" spans="2:9" x14ac:dyDescent="0.35">
      <c r="B58" t="s">
        <v>342</v>
      </c>
      <c r="C58" s="128">
        <f>'CE Budget 2022'!C18</f>
        <v>-1471815.2299680002</v>
      </c>
      <c r="D58" s="128">
        <v>-1000000</v>
      </c>
      <c r="E58" s="118">
        <f t="shared" si="2"/>
        <v>471815.2299680002</v>
      </c>
      <c r="F58" s="128"/>
      <c r="G58" s="128"/>
    </row>
    <row r="59" spans="2:9" x14ac:dyDescent="0.35">
      <c r="B59" t="s">
        <v>343</v>
      </c>
      <c r="C59" s="128">
        <f>'CE Budget 2022'!C19</f>
        <v>-867798.34033418808</v>
      </c>
      <c r="D59" s="128">
        <v>-550000</v>
      </c>
      <c r="E59" s="118">
        <f t="shared" si="2"/>
        <v>317798.34033418808</v>
      </c>
      <c r="F59" s="128"/>
      <c r="G59" s="128"/>
    </row>
    <row r="60" spans="2:9" x14ac:dyDescent="0.35">
      <c r="B60" s="119"/>
      <c r="C60" s="125"/>
      <c r="D60" s="125"/>
      <c r="E60" s="120"/>
      <c r="F60" s="125"/>
      <c r="G60" s="125"/>
      <c r="H60" s="125"/>
      <c r="I60" s="125"/>
    </row>
    <row r="61" spans="2:9" x14ac:dyDescent="0.35">
      <c r="B61" s="127" t="s">
        <v>344</v>
      </c>
      <c r="C61" s="128">
        <f>SUM(C58+C59)</f>
        <v>-2339613.5703021884</v>
      </c>
      <c r="D61" s="128">
        <v>-1550000</v>
      </c>
      <c r="E61" s="118">
        <f t="shared" si="2"/>
        <v>789613.5703021884</v>
      </c>
      <c r="F61" s="128"/>
      <c r="G61" s="128"/>
    </row>
    <row r="62" spans="2:9" x14ac:dyDescent="0.35">
      <c r="B62" s="119"/>
      <c r="C62" s="125"/>
      <c r="D62" s="125"/>
      <c r="E62" s="120"/>
      <c r="F62" s="125"/>
      <c r="G62" s="125"/>
      <c r="H62" s="125"/>
      <c r="I62" s="125"/>
    </row>
    <row r="63" spans="2:9" x14ac:dyDescent="0.35">
      <c r="B63" s="130" t="s">
        <v>345</v>
      </c>
      <c r="C63" s="128">
        <f>C45+C50+C56+C61</f>
        <v>11693007.805312719</v>
      </c>
      <c r="D63" s="128">
        <f>D45+D50+D56+D61</f>
        <v>10932003.037815414</v>
      </c>
      <c r="E63" s="118">
        <f t="shared" si="2"/>
        <v>-761004.76749730483</v>
      </c>
      <c r="F63" s="128"/>
      <c r="G63" s="128"/>
    </row>
    <row r="64" spans="2:9" x14ac:dyDescent="0.35">
      <c r="B64" t="s">
        <v>346</v>
      </c>
      <c r="C64" s="128">
        <f>-FixedCostsBudget!C3</f>
        <v>-5594785.9100000001</v>
      </c>
      <c r="D64" s="128">
        <f>'CE Budget 2022'!F22</f>
        <v>-5650000</v>
      </c>
      <c r="E64" s="118">
        <f t="shared" si="2"/>
        <v>-55214.089999999851</v>
      </c>
      <c r="F64" s="128"/>
      <c r="G64" s="128"/>
    </row>
    <row r="65" spans="2:9" x14ac:dyDescent="0.35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2"/>
        <v>-50000</v>
      </c>
      <c r="F65" s="128"/>
      <c r="G65" s="128"/>
    </row>
    <row r="66" spans="2:9" x14ac:dyDescent="0.35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2"/>
        <v>2500</v>
      </c>
      <c r="F66" s="128"/>
      <c r="G66" s="128"/>
    </row>
    <row r="67" spans="2:9" x14ac:dyDescent="0.35">
      <c r="B67" t="s">
        <v>347</v>
      </c>
      <c r="C67" s="128">
        <f>-FixedCostsBudget!C9</f>
        <v>-151700</v>
      </c>
      <c r="D67" s="128">
        <f>'CE Budget 2022'!F25</f>
        <v>-145000</v>
      </c>
      <c r="E67" s="118">
        <f t="shared" si="2"/>
        <v>6700</v>
      </c>
      <c r="F67" s="128"/>
      <c r="G67" s="128"/>
    </row>
    <row r="68" spans="2:9" x14ac:dyDescent="0.35">
      <c r="B68" t="s">
        <v>348</v>
      </c>
      <c r="C68" s="128">
        <f>-FixedCostsBudget!C11</f>
        <v>-309550</v>
      </c>
      <c r="D68" s="128">
        <f>'CE Budget 2022'!F26</f>
        <v>-307000</v>
      </c>
      <c r="E68" s="118">
        <f t="shared" si="2"/>
        <v>2550</v>
      </c>
      <c r="F68" s="128"/>
      <c r="G68" s="128"/>
    </row>
    <row r="69" spans="2:9" x14ac:dyDescent="0.35">
      <c r="B69" t="s">
        <v>349</v>
      </c>
      <c r="C69" s="128">
        <f>-FixedCostsBudget!C13</f>
        <v>-212174.99999999997</v>
      </c>
      <c r="D69" s="128">
        <f>'CE Budget 2022'!F27</f>
        <v>-209500</v>
      </c>
      <c r="E69" s="118">
        <f t="shared" si="2"/>
        <v>2674.9999999999709</v>
      </c>
      <c r="F69" s="128"/>
      <c r="G69" s="128"/>
    </row>
    <row r="70" spans="2:9" x14ac:dyDescent="0.35">
      <c r="B70" s="119"/>
      <c r="C70" s="125"/>
      <c r="D70" s="125"/>
      <c r="E70" s="120"/>
      <c r="F70" s="125"/>
      <c r="G70" s="125"/>
      <c r="H70" s="125"/>
      <c r="I70" s="125"/>
    </row>
    <row r="71" spans="2:9" x14ac:dyDescent="0.35">
      <c r="B71" s="127" t="s">
        <v>350</v>
      </c>
      <c r="C71" s="128">
        <f>SUM(C64:C69)</f>
        <v>-7625710.9100000001</v>
      </c>
      <c r="D71" s="128">
        <f>'CE Budget 2022'!F28</f>
        <v>-7716500</v>
      </c>
      <c r="E71" s="118">
        <f t="shared" si="2"/>
        <v>-90789.089999999851</v>
      </c>
      <c r="F71" s="128"/>
      <c r="G71" s="128"/>
    </row>
    <row r="72" spans="2:9" x14ac:dyDescent="0.35">
      <c r="B72" s="119"/>
      <c r="C72" s="125"/>
      <c r="D72" s="125"/>
      <c r="E72" s="120"/>
      <c r="F72" s="125"/>
      <c r="G72" s="125"/>
      <c r="H72" s="125"/>
      <c r="I72" s="125"/>
    </row>
    <row r="73" spans="2:9" x14ac:dyDescent="0.35">
      <c r="B73" t="s">
        <v>351</v>
      </c>
      <c r="C73" s="128">
        <f>-FixedCostsBudget!C18</f>
        <v>-563750</v>
      </c>
      <c r="D73" s="128">
        <f>'CE Budget 2022'!F29</f>
        <v>-556000</v>
      </c>
      <c r="E73" s="118">
        <f t="shared" si="2"/>
        <v>7750</v>
      </c>
      <c r="F73" s="128"/>
      <c r="G73" s="128"/>
    </row>
    <row r="74" spans="2:9" x14ac:dyDescent="0.35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2"/>
        <v>10500</v>
      </c>
      <c r="F74" s="128"/>
      <c r="G74" s="128"/>
    </row>
    <row r="75" spans="2:9" x14ac:dyDescent="0.35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2"/>
        <v>4499.9999999999854</v>
      </c>
      <c r="F75" s="128"/>
      <c r="G75" s="128"/>
    </row>
    <row r="76" spans="2:9" x14ac:dyDescent="0.35">
      <c r="B76" s="119"/>
      <c r="C76" s="125"/>
      <c r="D76" s="125"/>
      <c r="E76" s="120"/>
      <c r="F76" s="125"/>
      <c r="G76" s="125"/>
      <c r="H76" s="125"/>
      <c r="I76" s="125"/>
    </row>
    <row r="77" spans="2:9" x14ac:dyDescent="0.35">
      <c r="B77" s="127" t="s">
        <v>352</v>
      </c>
      <c r="C77" s="128">
        <f>SUM(C73:C75)</f>
        <v>-973750</v>
      </c>
      <c r="D77" s="128">
        <f>'CE Budget 2022'!F32</f>
        <v>-951000</v>
      </c>
      <c r="E77" s="118">
        <f t="shared" si="2"/>
        <v>22750</v>
      </c>
      <c r="F77" s="128"/>
      <c r="G77" s="128"/>
    </row>
    <row r="78" spans="2:9" x14ac:dyDescent="0.35">
      <c r="B78" s="129" t="s">
        <v>353</v>
      </c>
      <c r="C78" s="128">
        <f>+C63+C71+C77</f>
        <v>3093546.895312719</v>
      </c>
      <c r="D78" s="128">
        <f>'CE Budget 2022'!F33</f>
        <v>2384503.0378154144</v>
      </c>
      <c r="E78" s="118">
        <f t="shared" si="2"/>
        <v>-709043.85749730468</v>
      </c>
      <c r="F78" s="128"/>
      <c r="G78" s="128"/>
    </row>
    <row r="79" spans="2:9" x14ac:dyDescent="0.35">
      <c r="B79" s="129"/>
      <c r="C79" s="128"/>
      <c r="D79" s="128"/>
      <c r="E79" s="118"/>
      <c r="F79" s="128"/>
      <c r="G79" s="128"/>
    </row>
    <row r="80" spans="2:9" x14ac:dyDescent="0.35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2"/>
        <v>10000</v>
      </c>
      <c r="F80" s="128"/>
      <c r="G80" s="128"/>
    </row>
    <row r="81" spans="2:9" x14ac:dyDescent="0.35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2"/>
        <v>-13125</v>
      </c>
      <c r="F81" s="128"/>
      <c r="G81" s="128"/>
    </row>
    <row r="82" spans="2:9" x14ac:dyDescent="0.35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2"/>
        <v>-25000</v>
      </c>
      <c r="F82" s="128"/>
      <c r="G82" s="128"/>
    </row>
    <row r="83" spans="2:9" x14ac:dyDescent="0.35">
      <c r="B83" s="119"/>
      <c r="C83" s="125"/>
      <c r="D83" s="125"/>
      <c r="E83" s="120"/>
      <c r="F83" s="125"/>
      <c r="G83" s="125"/>
      <c r="H83" s="125"/>
      <c r="I83" s="125"/>
    </row>
    <row r="84" spans="2:9" x14ac:dyDescent="0.35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2"/>
        <v>-28125</v>
      </c>
      <c r="F84" s="128"/>
      <c r="G84" s="128"/>
    </row>
    <row r="85" spans="2:9" x14ac:dyDescent="0.35">
      <c r="B85" s="130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2"/>
        <v>-737168.85749730468</v>
      </c>
      <c r="F85" s="128"/>
      <c r="G85" s="128"/>
    </row>
    <row r="86" spans="2:9" x14ac:dyDescent="0.35">
      <c r="B86" s="130"/>
      <c r="C86" s="128"/>
      <c r="D86" s="128"/>
      <c r="E86" s="118"/>
      <c r="F86" s="128"/>
      <c r="G86" s="128"/>
    </row>
    <row r="87" spans="2:9" x14ac:dyDescent="0.35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2"/>
        <v>-52633.039999999979</v>
      </c>
      <c r="F87" s="128"/>
      <c r="G87" s="128"/>
    </row>
    <row r="88" spans="2:9" x14ac:dyDescent="0.35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2"/>
        <v>3543.6200000000003</v>
      </c>
      <c r="F88" s="128"/>
      <c r="G88" s="128"/>
    </row>
    <row r="89" spans="2:9" x14ac:dyDescent="0.35">
      <c r="B89" s="119"/>
      <c r="C89" s="125"/>
      <c r="D89" s="125"/>
      <c r="E89" s="120"/>
      <c r="F89" s="125"/>
      <c r="G89" s="125"/>
      <c r="H89" s="125"/>
      <c r="I89" s="125"/>
    </row>
    <row r="90" spans="2:9" x14ac:dyDescent="0.35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2"/>
        <v>-49089.419999999984</v>
      </c>
      <c r="F90" s="128"/>
      <c r="G90" s="128"/>
    </row>
    <row r="91" spans="2:9" x14ac:dyDescent="0.35">
      <c r="B91" s="130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2"/>
        <v>-786258.2774973046</v>
      </c>
      <c r="F91" s="128"/>
      <c r="G91" s="128"/>
    </row>
    <row r="92" spans="2:9" x14ac:dyDescent="0.35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2"/>
        <v>-130503.97</v>
      </c>
      <c r="F92" s="128"/>
      <c r="G92" s="128"/>
    </row>
    <row r="93" spans="2:9" x14ac:dyDescent="0.35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2"/>
        <v>0</v>
      </c>
      <c r="F93" s="128"/>
      <c r="G93" s="128"/>
    </row>
    <row r="94" spans="2:9" x14ac:dyDescent="0.35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2"/>
        <v>0</v>
      </c>
      <c r="F94" s="128"/>
      <c r="G94" s="128"/>
    </row>
    <row r="95" spans="2:9" x14ac:dyDescent="0.35">
      <c r="B95" s="119"/>
      <c r="C95" s="125"/>
      <c r="D95" s="125"/>
      <c r="E95" s="120"/>
      <c r="F95" s="125"/>
      <c r="G95" s="125"/>
      <c r="H95" s="125"/>
      <c r="I95" s="125"/>
    </row>
    <row r="96" spans="2:9" x14ac:dyDescent="0.35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2"/>
        <v>-130503.97</v>
      </c>
      <c r="F96" s="128"/>
      <c r="G96" s="128"/>
    </row>
    <row r="97" spans="2:9" x14ac:dyDescent="0.35">
      <c r="B97" s="130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2"/>
        <v>-916762.24749730458</v>
      </c>
      <c r="F97" s="128"/>
      <c r="G97" s="128"/>
    </row>
    <row r="98" spans="2:9" x14ac:dyDescent="0.35">
      <c r="B98" s="130"/>
      <c r="C98" s="128"/>
      <c r="D98" s="128"/>
      <c r="E98" s="118"/>
      <c r="F98" s="128"/>
      <c r="G98" s="128"/>
    </row>
    <row r="99" spans="2:9" x14ac:dyDescent="0.35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2"/>
        <v>275028.67424920027</v>
      </c>
      <c r="F99" s="128"/>
      <c r="G99" s="128"/>
    </row>
    <row r="100" spans="2:9" x14ac:dyDescent="0.35">
      <c r="B100" s="119"/>
      <c r="C100" s="125"/>
      <c r="D100" s="125"/>
      <c r="E100" s="120"/>
      <c r="F100" s="125"/>
      <c r="G100" s="125"/>
      <c r="H100" s="125"/>
      <c r="I100" s="125"/>
    </row>
    <row r="101" spans="2:9" x14ac:dyDescent="0.35">
      <c r="B101" s="130" t="s">
        <v>109</v>
      </c>
      <c r="C101" s="128">
        <f>C97+C99</f>
        <v>1406420.3267189034</v>
      </c>
      <c r="D101" s="128">
        <f>'CE Budget 2022'!F49</f>
        <v>764686.75347079907</v>
      </c>
      <c r="E101" s="118">
        <f t="shared" si="2"/>
        <v>-641733.57324810431</v>
      </c>
      <c r="F101" s="128"/>
      <c r="G101" s="128"/>
    </row>
    <row r="102" spans="2:9" x14ac:dyDescent="0.35">
      <c r="C102" s="128"/>
      <c r="D102" s="128"/>
      <c r="E102" s="128"/>
      <c r="F102" s="128"/>
      <c r="G102" s="128"/>
    </row>
    <row r="103" spans="2:9" x14ac:dyDescent="0.35">
      <c r="C103" s="128"/>
      <c r="D103" s="128"/>
      <c r="E103" s="128"/>
      <c r="F103" s="128"/>
      <c r="G103" s="128"/>
    </row>
    <row r="104" spans="2:9" x14ac:dyDescent="0.35">
      <c r="C104" s="128"/>
      <c r="D104" s="128"/>
      <c r="E104" s="128"/>
      <c r="F104" s="128"/>
      <c r="G104" s="128"/>
    </row>
    <row r="105" spans="2:9" x14ac:dyDescent="0.35">
      <c r="C105" s="128"/>
      <c r="D105" s="128"/>
      <c r="E105" s="128"/>
      <c r="F105" s="128"/>
      <c r="G105" s="128"/>
    </row>
    <row r="106" spans="2:9" x14ac:dyDescent="0.35">
      <c r="C106" s="128"/>
      <c r="D106" s="128"/>
      <c r="E106" s="128"/>
      <c r="F106" s="128"/>
      <c r="G106" s="128"/>
    </row>
    <row r="107" spans="2:9" x14ac:dyDescent="0.35">
      <c r="C107" s="128"/>
      <c r="D107" s="128"/>
      <c r="E107" s="128"/>
      <c r="F107" s="128"/>
      <c r="G107" s="128"/>
    </row>
    <row r="108" spans="2:9" x14ac:dyDescent="0.35">
      <c r="C108" s="128"/>
      <c r="D108" s="128"/>
      <c r="E108" s="128"/>
      <c r="F108" s="128"/>
      <c r="G108" s="128"/>
    </row>
    <row r="109" spans="2:9" x14ac:dyDescent="0.35">
      <c r="C109" s="128"/>
      <c r="D109" s="128"/>
      <c r="E109" s="128"/>
      <c r="F109" s="128"/>
      <c r="G109" s="128"/>
    </row>
    <row r="110" spans="2:9" x14ac:dyDescent="0.35">
      <c r="C110" s="128"/>
      <c r="D110" s="128"/>
      <c r="E110" s="128"/>
      <c r="F110" s="128"/>
      <c r="G110" s="128"/>
    </row>
    <row r="111" spans="2:9" x14ac:dyDescent="0.35">
      <c r="C111" s="128"/>
      <c r="D111" s="128"/>
      <c r="E111" s="128"/>
      <c r="F111" s="128"/>
      <c r="G111" s="128"/>
    </row>
    <row r="112" spans="2:9" x14ac:dyDescent="0.35">
      <c r="C112" s="128"/>
      <c r="D112" s="128"/>
      <c r="E112" s="128"/>
      <c r="F112" s="128"/>
      <c r="G112" s="128"/>
    </row>
    <row r="113" spans="3:7" x14ac:dyDescent="0.35">
      <c r="C113" s="128"/>
      <c r="D113" s="128"/>
      <c r="E113" s="128"/>
      <c r="F113" s="128"/>
      <c r="G113" s="128"/>
    </row>
    <row r="114" spans="3:7" x14ac:dyDescent="0.35">
      <c r="C114" s="128"/>
      <c r="D114" s="128"/>
      <c r="E114" s="128"/>
      <c r="F114" s="128"/>
      <c r="G114" s="128"/>
    </row>
    <row r="115" spans="3:7" x14ac:dyDescent="0.35">
      <c r="C115" s="128"/>
      <c r="D115" s="128"/>
      <c r="E115" s="128"/>
      <c r="F115" s="128"/>
      <c r="G115" s="128"/>
    </row>
    <row r="116" spans="3:7" x14ac:dyDescent="0.35">
      <c r="C116" s="128"/>
      <c r="D116" s="128"/>
      <c r="E116" s="128"/>
      <c r="F116" s="128"/>
      <c r="G116" s="128"/>
    </row>
    <row r="117" spans="3:7" x14ac:dyDescent="0.35">
      <c r="C117" s="128"/>
      <c r="D117" s="128"/>
      <c r="E117" s="128"/>
      <c r="F117" s="128"/>
      <c r="G117" s="128"/>
    </row>
    <row r="118" spans="3:7" x14ac:dyDescent="0.35">
      <c r="C118" s="128"/>
      <c r="D118" s="128"/>
      <c r="E118" s="128"/>
      <c r="F118" s="128"/>
      <c r="G118" s="128"/>
    </row>
    <row r="119" spans="3:7" x14ac:dyDescent="0.35">
      <c r="C119" s="128"/>
      <c r="D119" s="128"/>
      <c r="E119" s="128"/>
      <c r="F119" s="128"/>
      <c r="G119" s="128"/>
    </row>
    <row r="120" spans="3:7" x14ac:dyDescent="0.35">
      <c r="C120" s="128"/>
      <c r="D120" s="128"/>
      <c r="E120" s="128"/>
      <c r="F120" s="128"/>
      <c r="G120" s="128"/>
    </row>
    <row r="121" spans="3:7" x14ac:dyDescent="0.35">
      <c r="C121" s="128"/>
      <c r="D121" s="128"/>
      <c r="E121" s="128"/>
      <c r="F121" s="128"/>
      <c r="G121" s="128"/>
    </row>
    <row r="122" spans="3:7" x14ac:dyDescent="0.35">
      <c r="C122" s="128"/>
      <c r="D122" s="128"/>
      <c r="E122" s="128"/>
      <c r="F122" s="128"/>
      <c r="G122" s="128"/>
    </row>
    <row r="123" spans="3:7" x14ac:dyDescent="0.35">
      <c r="C123" s="128"/>
      <c r="D123" s="128"/>
      <c r="E123" s="128"/>
      <c r="F123" s="128"/>
      <c r="G123" s="128"/>
    </row>
    <row r="124" spans="3:7" x14ac:dyDescent="0.35">
      <c r="C124" s="128"/>
      <c r="D124" s="128"/>
      <c r="E124" s="128"/>
      <c r="F124" s="128"/>
      <c r="G124" s="128"/>
    </row>
    <row r="125" spans="3:7" x14ac:dyDescent="0.35">
      <c r="C125" s="128"/>
      <c r="D125" s="128"/>
      <c r="E125" s="128"/>
      <c r="F125" s="128"/>
      <c r="G125" s="128"/>
    </row>
    <row r="126" spans="3:7" x14ac:dyDescent="0.35">
      <c r="C126" s="128"/>
      <c r="D126" s="128"/>
      <c r="E126" s="128"/>
      <c r="F126" s="128"/>
      <c r="G126" s="128"/>
    </row>
    <row r="127" spans="3:7" x14ac:dyDescent="0.35">
      <c r="C127" s="128"/>
      <c r="D127" s="128"/>
      <c r="E127" s="128"/>
      <c r="F127" s="128"/>
      <c r="G127" s="128"/>
    </row>
    <row r="128" spans="3:7" x14ac:dyDescent="0.35">
      <c r="C128" s="128"/>
      <c r="D128" s="128"/>
      <c r="E128" s="128"/>
      <c r="F128" s="128"/>
      <c r="G128" s="128"/>
    </row>
    <row r="129" spans="3:7" x14ac:dyDescent="0.35">
      <c r="C129" s="128"/>
      <c r="D129" s="128"/>
      <c r="E129" s="128"/>
      <c r="F129" s="128"/>
      <c r="G129" s="128"/>
    </row>
    <row r="130" spans="3:7" x14ac:dyDescent="0.35">
      <c r="C130" s="128"/>
      <c r="D130" s="128"/>
      <c r="E130" s="128"/>
      <c r="F130" s="128"/>
      <c r="G130" s="128"/>
    </row>
    <row r="131" spans="3:7" x14ac:dyDescent="0.35">
      <c r="C131" s="128"/>
      <c r="D131" s="128"/>
      <c r="E131" s="128"/>
      <c r="F131" s="128"/>
      <c r="G131" s="128"/>
    </row>
    <row r="132" spans="3:7" x14ac:dyDescent="0.35">
      <c r="C132" s="128"/>
      <c r="D132" s="128"/>
      <c r="E132" s="128"/>
      <c r="F132" s="128"/>
      <c r="G132" s="128"/>
    </row>
    <row r="133" spans="3:7" x14ac:dyDescent="0.35">
      <c r="C133" s="128"/>
      <c r="D133" s="128"/>
      <c r="E133" s="128"/>
      <c r="F133" s="128"/>
      <c r="G133" s="128"/>
    </row>
    <row r="134" spans="3:7" x14ac:dyDescent="0.35">
      <c r="C134" s="128"/>
      <c r="D134" s="128"/>
      <c r="E134" s="128"/>
      <c r="F134" s="128"/>
      <c r="G134" s="128"/>
    </row>
    <row r="135" spans="3:7" x14ac:dyDescent="0.35">
      <c r="C135" s="128"/>
      <c r="D135" s="128"/>
      <c r="E135" s="128"/>
      <c r="F135" s="128"/>
      <c r="G135" s="128"/>
    </row>
    <row r="136" spans="3:7" x14ac:dyDescent="0.35">
      <c r="C136" s="128"/>
      <c r="D136" s="128"/>
      <c r="E136" s="128"/>
      <c r="F136" s="128"/>
      <c r="G136" s="128"/>
    </row>
    <row r="137" spans="3:7" x14ac:dyDescent="0.35">
      <c r="C137" s="128"/>
      <c r="D137" s="128"/>
      <c r="E137" s="128"/>
      <c r="F137" s="128"/>
      <c r="G137" s="128"/>
    </row>
    <row r="138" spans="3:7" x14ac:dyDescent="0.35">
      <c r="C138" s="128"/>
      <c r="D138" s="128"/>
      <c r="E138" s="128"/>
      <c r="F138" s="128"/>
      <c r="G138" s="128"/>
    </row>
    <row r="139" spans="3:7" x14ac:dyDescent="0.35">
      <c r="C139" s="128"/>
      <c r="D139" s="128"/>
      <c r="E139" s="128"/>
      <c r="F139" s="128"/>
      <c r="G139" s="128"/>
    </row>
    <row r="140" spans="3:7" x14ac:dyDescent="0.35">
      <c r="C140" s="128"/>
      <c r="D140" s="128"/>
      <c r="E140" s="128"/>
      <c r="F140" s="128"/>
      <c r="G140" s="128"/>
    </row>
    <row r="141" spans="3:7" x14ac:dyDescent="0.35">
      <c r="C141" s="128"/>
      <c r="D141" s="128"/>
      <c r="E141" s="128"/>
      <c r="F141" s="128"/>
      <c r="G141" s="128"/>
    </row>
    <row r="142" spans="3:7" x14ac:dyDescent="0.35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workbookViewId="0"/>
  </sheetViews>
  <sheetFormatPr defaultRowHeight="14.5" x14ac:dyDescent="0.35"/>
  <cols>
    <col min="2" max="2" width="34.1796875" bestFit="1" customWidth="1"/>
    <col min="3" max="3" width="13.08984375" bestFit="1" customWidth="1"/>
    <col min="4" max="5" width="12.81640625" bestFit="1" customWidth="1"/>
    <col min="6" max="6" width="26.1796875" bestFit="1" customWidth="1"/>
    <col min="7" max="7" width="20.54296875" bestFit="1" customWidth="1"/>
    <col min="8" max="8" width="18.1796875" customWidth="1"/>
    <col min="9" max="9" width="13.08984375" bestFit="1" customWidth="1"/>
  </cols>
  <sheetData>
    <row r="1" spans="1:9" x14ac:dyDescent="0.35">
      <c r="A1" s="96"/>
      <c r="B1" s="96"/>
      <c r="C1" s="96"/>
      <c r="D1" s="96"/>
      <c r="E1" s="96"/>
      <c r="F1" s="96"/>
      <c r="G1" s="96"/>
      <c r="H1" s="96"/>
    </row>
    <row r="2" spans="1:9" x14ac:dyDescent="0.35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5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5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5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5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5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5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5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5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5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5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5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5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5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5">
      <c r="A16" s="96"/>
      <c r="B16" s="96"/>
      <c r="C16" s="96"/>
      <c r="D16" s="96"/>
      <c r="E16" s="96"/>
      <c r="F16" s="96"/>
      <c r="G16" s="96"/>
      <c r="H16" s="96"/>
    </row>
    <row r="17" spans="1:8" x14ac:dyDescent="0.35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5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5">
      <c r="A19" s="96"/>
      <c r="B19" s="96"/>
      <c r="C19" s="96"/>
      <c r="D19" s="96"/>
      <c r="E19" s="96"/>
      <c r="F19" s="96"/>
      <c r="G19" s="96"/>
      <c r="H19" s="96"/>
    </row>
    <row r="20" spans="1:8" x14ac:dyDescent="0.35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5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5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5">
      <c r="A23" s="96"/>
      <c r="B23" s="96" t="s">
        <v>276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5">
      <c r="B24" s="96" t="s">
        <v>249</v>
      </c>
      <c r="C24" s="96">
        <v>86</v>
      </c>
    </row>
    <row r="25" spans="1:8" x14ac:dyDescent="0.35">
      <c r="C25" s="96"/>
    </row>
    <row r="26" spans="1:8" x14ac:dyDescent="0.35">
      <c r="B26" s="96" t="s">
        <v>275</v>
      </c>
      <c r="C26" s="96">
        <f>VariableCosts!C12</f>
        <v>140</v>
      </c>
    </row>
    <row r="27" spans="1:8" x14ac:dyDescent="0.35">
      <c r="B27" s="96" t="s">
        <v>250</v>
      </c>
      <c r="C27" s="96">
        <f>VariableCosts!C11</f>
        <v>60</v>
      </c>
    </row>
    <row r="28" spans="1:8" x14ac:dyDescent="0.35">
      <c r="B28" s="96" t="s">
        <v>251</v>
      </c>
      <c r="C28" s="96">
        <f>VariableCosts!C10</f>
        <v>65</v>
      </c>
    </row>
    <row r="29" spans="1:8" x14ac:dyDescent="0.35">
      <c r="B29" s="96" t="s">
        <v>264</v>
      </c>
      <c r="C29" s="96">
        <f>VariableCosts!C13</f>
        <v>275000</v>
      </c>
    </row>
    <row r="30" spans="1:8" x14ac:dyDescent="0.35">
      <c r="B30" s="96" t="s">
        <v>265</v>
      </c>
      <c r="C30" s="96">
        <f>C29*12</f>
        <v>3300000</v>
      </c>
    </row>
    <row r="32" spans="1:8" x14ac:dyDescent="0.35">
      <c r="B32" s="96" t="s">
        <v>266</v>
      </c>
      <c r="C32" s="96">
        <v>10.24</v>
      </c>
    </row>
    <row r="34" spans="2:3" x14ac:dyDescent="0.35">
      <c r="B34" s="96" t="s">
        <v>267</v>
      </c>
      <c r="C34" s="96">
        <v>40</v>
      </c>
    </row>
    <row r="35" spans="2:3" x14ac:dyDescent="0.35">
      <c r="B35" t="s">
        <v>268</v>
      </c>
      <c r="C35" s="96">
        <v>0.08</v>
      </c>
    </row>
    <row r="36" spans="2:3" x14ac:dyDescent="0.35">
      <c r="B36" s="96" t="s">
        <v>269</v>
      </c>
      <c r="C36">
        <f>C34*(1+C35)</f>
        <v>43.2</v>
      </c>
    </row>
    <row r="38" spans="2:3" x14ac:dyDescent="0.35">
      <c r="B38" t="s">
        <v>270</v>
      </c>
      <c r="C38" s="96">
        <v>0.02</v>
      </c>
    </row>
    <row r="40" spans="2:3" x14ac:dyDescent="0.35">
      <c r="B40" s="96" t="s">
        <v>233</v>
      </c>
      <c r="C40" s="96">
        <f>G4*C23</f>
        <v>15619.501552906979</v>
      </c>
    </row>
    <row r="41" spans="2:3" x14ac:dyDescent="0.35">
      <c r="B41" s="96" t="s">
        <v>273</v>
      </c>
      <c r="C41" s="96">
        <f>G5*C21</f>
        <v>4137.7919767441863</v>
      </c>
    </row>
    <row r="42" spans="2:3" x14ac:dyDescent="0.35">
      <c r="B42" s="96" t="s">
        <v>272</v>
      </c>
      <c r="C42" s="107">
        <f>G6*C20</f>
        <v>12069.871618604651</v>
      </c>
    </row>
    <row r="43" spans="2:3" x14ac:dyDescent="0.35">
      <c r="B43" s="96" t="s">
        <v>234</v>
      </c>
      <c r="C43" s="96">
        <f>C41+C40+C42</f>
        <v>31827.165148255815</v>
      </c>
    </row>
    <row r="44" spans="2:3" x14ac:dyDescent="0.35">
      <c r="B44" s="96" t="s">
        <v>235</v>
      </c>
      <c r="C44" s="96">
        <f>C43*0.25</f>
        <v>7956.7912870639539</v>
      </c>
    </row>
    <row r="45" spans="2:3" x14ac:dyDescent="0.35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CE Budget 2022</vt:lpstr>
      <vt:lpstr>Analisi degli scostamenti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MICHELE VITALI</cp:lastModifiedBy>
  <dcterms:created xsi:type="dcterms:W3CDTF">2015-06-05T18:19:34Z</dcterms:created>
  <dcterms:modified xsi:type="dcterms:W3CDTF">2025-12-12T09:42:30Z</dcterms:modified>
</cp:coreProperties>
</file>