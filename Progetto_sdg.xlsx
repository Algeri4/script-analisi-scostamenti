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Desktop\Nicola\UNIBG\Sistemi di controllo di gestione\script analisi scostamenti\"/>
    </mc:Choice>
  </mc:AlternateContent>
  <xr:revisionPtr revIDLastSave="0" documentId="13_ncr:1_{7F75F190-D92C-4BCE-A23C-D209FFDF4DF6}" xr6:coauthVersionLast="47" xr6:coauthVersionMax="47" xr10:uidLastSave="{00000000-0000-0000-0000-000000000000}"/>
  <bookViews>
    <workbookView xWindow="-108" yWindow="-108" windowWidth="23256" windowHeight="12576" firstSheet="4" activeTab="9" xr2:uid="{F3D2BC44-8B96-4191-A951-D452051F21FF}"/>
  </bookViews>
  <sheets>
    <sheet name="CE 21-22" sheetId="3" r:id="rId1"/>
    <sheet name="Ricavi" sheetId="1" r:id="rId2"/>
    <sheet name="RicaviBudget" sheetId="7" r:id="rId3"/>
    <sheet name="VariableCosts" sheetId="4" r:id="rId4"/>
    <sheet name="VariableCostsBudget" sheetId="8" r:id="rId5"/>
    <sheet name="FixedCosts" sheetId="5" r:id="rId6"/>
    <sheet name="FixedCostsBudget" sheetId="9" r:id="rId7"/>
    <sheet name="Others" sheetId="6" r:id="rId8"/>
    <sheet name="OthersBudget" sheetId="10" r:id="rId9"/>
    <sheet name="CE Budget 2022" sheetId="11" r:id="rId10"/>
    <sheet name="Analisi degli scostamenti" sheetId="12" r:id="rId11"/>
    <sheet name="VariableCostsC" sheetId="13" r:id="rId12"/>
  </sheets>
  <externalReferences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0" l="1"/>
  <c r="C48" i="11"/>
  <c r="C8" i="11"/>
  <c r="C5" i="10"/>
  <c r="C74" i="12" s="1"/>
  <c r="C9" i="10"/>
  <c r="C80" i="12" s="1"/>
  <c r="I4" i="12"/>
  <c r="I5" i="12"/>
  <c r="I6" i="12"/>
  <c r="I7" i="12"/>
  <c r="I3" i="12"/>
  <c r="F27" i="12" a="1"/>
  <c r="F27" i="12" s="1"/>
  <c r="F28" i="12" a="1"/>
  <c r="F28" i="12" s="1"/>
  <c r="F29" i="12" a="1"/>
  <c r="F29" i="12" s="1"/>
  <c r="F30" i="12" a="1"/>
  <c r="F30" i="12" s="1"/>
  <c r="F26" i="12" a="1"/>
  <c r="F26" i="12" s="1"/>
  <c r="H4" i="12"/>
  <c r="H5" i="12"/>
  <c r="H6" i="12"/>
  <c r="H7" i="12"/>
  <c r="H3" i="12"/>
  <c r="F14" i="12"/>
  <c r="G14" i="12" s="1"/>
  <c r="C11" i="12"/>
  <c r="F16" i="12"/>
  <c r="G16" i="12" s="1"/>
  <c r="F17" i="12"/>
  <c r="G17" i="12" s="1"/>
  <c r="G4" i="12"/>
  <c r="G5" i="12"/>
  <c r="G6" i="12"/>
  <c r="G7" i="12"/>
  <c r="G3" i="12"/>
  <c r="F15" i="12"/>
  <c r="G15" i="12" s="1"/>
  <c r="D9" i="12"/>
  <c r="C9" i="12"/>
  <c r="D57" i="12"/>
  <c r="D58" i="12"/>
  <c r="D59" i="12"/>
  <c r="D60" i="12"/>
  <c r="D61" i="12"/>
  <c r="D62" i="12"/>
  <c r="D64" i="12"/>
  <c r="D66" i="12"/>
  <c r="D67" i="12"/>
  <c r="D68" i="12"/>
  <c r="D70" i="12"/>
  <c r="D71" i="12"/>
  <c r="D73" i="12"/>
  <c r="D74" i="12"/>
  <c r="D75" i="12"/>
  <c r="D77" i="12"/>
  <c r="D78" i="12"/>
  <c r="D80" i="12"/>
  <c r="D81" i="12"/>
  <c r="D83" i="12"/>
  <c r="D84" i="12"/>
  <c r="D85" i="12"/>
  <c r="D86" i="12"/>
  <c r="E86" i="12" s="1"/>
  <c r="D87" i="12"/>
  <c r="D89" i="12"/>
  <c r="D90" i="12"/>
  <c r="D92" i="12"/>
  <c r="D94" i="12"/>
  <c r="E36" i="12"/>
  <c r="E41" i="12"/>
  <c r="D45" i="12"/>
  <c r="D35" i="12"/>
  <c r="C36" i="13"/>
  <c r="C29" i="13"/>
  <c r="C30" i="13" s="1"/>
  <c r="C28" i="13"/>
  <c r="C27" i="13"/>
  <c r="C26" i="13"/>
  <c r="C23" i="13"/>
  <c r="H4" i="13" s="1"/>
  <c r="C21" i="13"/>
  <c r="C20" i="13"/>
  <c r="G14" i="13"/>
  <c r="G11" i="13"/>
  <c r="F6" i="13"/>
  <c r="G6" i="13" s="1"/>
  <c r="F5" i="13"/>
  <c r="G5" i="13" s="1"/>
  <c r="F4" i="13"/>
  <c r="G4" i="13" s="1"/>
  <c r="C4" i="13"/>
  <c r="C2" i="13"/>
  <c r="C9" i="13" s="1"/>
  <c r="C12" i="13" s="1"/>
  <c r="C18" i="13" s="1"/>
  <c r="D40" i="12" a="1"/>
  <c r="D40" i="12" s="1"/>
  <c r="D43" i="12" s="1"/>
  <c r="C87" i="12"/>
  <c r="C86" i="12"/>
  <c r="C85" i="12"/>
  <c r="C81" i="12"/>
  <c r="C75" i="12"/>
  <c r="C73" i="12"/>
  <c r="C40" i="12" a="1"/>
  <c r="C40" i="12" s="1"/>
  <c r="C43" i="12" s="1"/>
  <c r="C68" i="12"/>
  <c r="C67" i="12"/>
  <c r="C66" i="12"/>
  <c r="C62" i="12"/>
  <c r="C61" i="12"/>
  <c r="C60" i="12"/>
  <c r="C59" i="12"/>
  <c r="C58" i="12"/>
  <c r="C57" i="12"/>
  <c r="E57" i="12" s="1"/>
  <c r="C52" i="12"/>
  <c r="E52" i="12" s="1"/>
  <c r="C51" i="12"/>
  <c r="C47" i="12"/>
  <c r="E47" i="12" s="1"/>
  <c r="C46" i="12"/>
  <c r="E46" i="12" s="1"/>
  <c r="C45" i="12"/>
  <c r="C35" i="12"/>
  <c r="D30" i="12" a="1"/>
  <c r="D30" i="12" s="1"/>
  <c r="D29" i="12" a="1"/>
  <c r="D29" i="12" s="1"/>
  <c r="D28" i="12" a="1"/>
  <c r="D28" i="12" s="1"/>
  <c r="D27" i="12" a="1"/>
  <c r="D27" i="12" s="1"/>
  <c r="D34" i="12" s="1"/>
  <c r="D26" i="12" a="1"/>
  <c r="D26" i="12" s="1"/>
  <c r="D33" i="12" s="1"/>
  <c r="D18" i="12"/>
  <c r="D17" i="12"/>
  <c r="D15" i="12"/>
  <c r="D14" i="12"/>
  <c r="D16" i="12"/>
  <c r="D8" i="12" a="1"/>
  <c r="D8" i="12" s="1"/>
  <c r="C30" i="12" s="1"/>
  <c r="D7" i="12" a="1"/>
  <c r="D7" i="12" s="1"/>
  <c r="C29" i="12" s="1"/>
  <c r="D6" i="12" a="1"/>
  <c r="D6" i="12" s="1"/>
  <c r="C28" i="12" s="1"/>
  <c r="D5" i="12" a="1"/>
  <c r="D5" i="12" s="1"/>
  <c r="C27" i="12" s="1"/>
  <c r="C34" i="12" s="1"/>
  <c r="D4" i="12" a="1"/>
  <c r="D4" i="12" s="1"/>
  <c r="C26" i="12" s="1"/>
  <c r="C33" i="12" s="1"/>
  <c r="C8" i="12"/>
  <c r="C18" i="12" s="1"/>
  <c r="C7" i="12"/>
  <c r="C17" i="12" s="1"/>
  <c r="C6" i="12"/>
  <c r="C16" i="12" s="1"/>
  <c r="C5" i="12"/>
  <c r="C15" i="12" s="1"/>
  <c r="C4" i="12"/>
  <c r="C14" i="12" s="1"/>
  <c r="D20" i="12"/>
  <c r="D24" i="12"/>
  <c r="C24" i="12"/>
  <c r="D23" i="12"/>
  <c r="C23" i="12"/>
  <c r="D22" i="12"/>
  <c r="C22" i="12"/>
  <c r="D21" i="12"/>
  <c r="C21" i="12"/>
  <c r="C20" i="12"/>
  <c r="F18" i="12" l="1"/>
  <c r="G18" i="12" s="1"/>
  <c r="H9" i="12"/>
  <c r="E43" i="12"/>
  <c r="E73" i="12"/>
  <c r="E75" i="12"/>
  <c r="C83" i="12"/>
  <c r="E83" i="12" s="1"/>
  <c r="E81" i="12"/>
  <c r="E66" i="12"/>
  <c r="C54" i="12"/>
  <c r="E54" i="12" s="1"/>
  <c r="E85" i="12"/>
  <c r="E45" i="12"/>
  <c r="E35" i="12"/>
  <c r="E74" i="12"/>
  <c r="E58" i="12"/>
  <c r="C77" i="12"/>
  <c r="E77" i="12" s="1"/>
  <c r="E87" i="12"/>
  <c r="E68" i="12"/>
  <c r="E40" i="12"/>
  <c r="E67" i="12"/>
  <c r="E51" i="12"/>
  <c r="E80" i="12"/>
  <c r="E62" i="12"/>
  <c r="E61" i="12"/>
  <c r="E60" i="12"/>
  <c r="C70" i="12"/>
  <c r="E70" i="12" s="1"/>
  <c r="E59" i="12"/>
  <c r="C49" i="12"/>
  <c r="E49" i="12" s="1"/>
  <c r="C89" i="12"/>
  <c r="E89" i="12" s="1"/>
  <c r="E34" i="12"/>
  <c r="C64" i="12"/>
  <c r="E64" i="12" s="1"/>
  <c r="E33" i="12"/>
  <c r="I6" i="13"/>
  <c r="C42" i="13"/>
  <c r="G7" i="13"/>
  <c r="G13" i="13" s="1"/>
  <c r="H6" i="13"/>
  <c r="G12" i="13"/>
  <c r="C41" i="13"/>
  <c r="I5" i="13"/>
  <c r="H5" i="13"/>
  <c r="G9" i="13"/>
  <c r="I4" i="13"/>
  <c r="G10" i="13" s="1"/>
  <c r="C40" i="13"/>
  <c r="F7" i="13"/>
  <c r="C8" i="13"/>
  <c r="C11" i="13" s="1"/>
  <c r="C17" i="13" s="1"/>
  <c r="E21" i="12"/>
  <c r="E22" i="12"/>
  <c r="E23" i="12"/>
  <c r="E24" i="12"/>
  <c r="E20" i="12"/>
  <c r="E16" i="12"/>
  <c r="C32" i="12"/>
  <c r="C38" i="12" s="1"/>
  <c r="E30" i="12"/>
  <c r="E26" i="12"/>
  <c r="E18" i="12"/>
  <c r="E17" i="12"/>
  <c r="E14" i="12"/>
  <c r="E27" i="12"/>
  <c r="E15" i="12"/>
  <c r="E28" i="12"/>
  <c r="D32" i="12"/>
  <c r="E29" i="12"/>
  <c r="C56" i="12" l="1"/>
  <c r="C71" i="12" s="1"/>
  <c r="C43" i="13"/>
  <c r="C44" i="13" s="1"/>
  <c r="G15" i="13" s="1"/>
  <c r="G17" i="13" s="1"/>
  <c r="D38" i="12"/>
  <c r="E32" i="12"/>
  <c r="I16" i="7"/>
  <c r="D56" i="12" l="1"/>
  <c r="E56" i="12" s="1"/>
  <c r="E38" i="12"/>
  <c r="C78" i="12"/>
  <c r="E71" i="12"/>
  <c r="F3" i="7"/>
  <c r="C3" i="7"/>
  <c r="D3" i="7"/>
  <c r="E3" i="7"/>
  <c r="C4" i="7"/>
  <c r="D4" i="7"/>
  <c r="E4" i="7"/>
  <c r="C5" i="7"/>
  <c r="D5" i="7"/>
  <c r="E5" i="7"/>
  <c r="C6" i="7"/>
  <c r="D6" i="7"/>
  <c r="E6" i="7"/>
  <c r="C7" i="7"/>
  <c r="D7" i="7"/>
  <c r="E7" i="7"/>
  <c r="C8" i="7"/>
  <c r="D8" i="7"/>
  <c r="E8" i="7"/>
  <c r="C9" i="7"/>
  <c r="D9" i="7"/>
  <c r="E9" i="7"/>
  <c r="C10" i="7"/>
  <c r="D10" i="7"/>
  <c r="E10" i="7"/>
  <c r="C11" i="7"/>
  <c r="D11" i="7"/>
  <c r="E11" i="7"/>
  <c r="C12" i="7"/>
  <c r="D12" i="7"/>
  <c r="E12" i="7"/>
  <c r="C13" i="7"/>
  <c r="D13" i="7"/>
  <c r="E13" i="7"/>
  <c r="C14" i="7"/>
  <c r="D14" i="7"/>
  <c r="E14" i="7"/>
  <c r="C15" i="7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C30" i="7"/>
  <c r="D30" i="7"/>
  <c r="E30" i="7"/>
  <c r="C31" i="7"/>
  <c r="D31" i="7"/>
  <c r="E31" i="7"/>
  <c r="C32" i="7"/>
  <c r="D32" i="7"/>
  <c r="E32" i="7"/>
  <c r="C33" i="7"/>
  <c r="D33" i="7"/>
  <c r="E33" i="7"/>
  <c r="C34" i="7"/>
  <c r="D34" i="7"/>
  <c r="E34" i="7"/>
  <c r="C35" i="7"/>
  <c r="D35" i="7"/>
  <c r="E35" i="7"/>
  <c r="C36" i="7"/>
  <c r="D36" i="7"/>
  <c r="E36" i="7"/>
  <c r="C37" i="7"/>
  <c r="D37" i="7"/>
  <c r="E37" i="7"/>
  <c r="C38" i="7"/>
  <c r="D38" i="7"/>
  <c r="E38" i="7"/>
  <c r="C39" i="7"/>
  <c r="D39" i="7"/>
  <c r="E39" i="7"/>
  <c r="C40" i="7"/>
  <c r="D40" i="7"/>
  <c r="E40" i="7"/>
  <c r="C41" i="7"/>
  <c r="D41" i="7"/>
  <c r="E41" i="7"/>
  <c r="C42" i="7"/>
  <c r="D42" i="7"/>
  <c r="E42" i="7"/>
  <c r="C43" i="7"/>
  <c r="D43" i="7"/>
  <c r="E43" i="7"/>
  <c r="C44" i="7"/>
  <c r="D44" i="7"/>
  <c r="E44" i="7"/>
  <c r="C45" i="7"/>
  <c r="D45" i="7"/>
  <c r="E45" i="7"/>
  <c r="C46" i="7"/>
  <c r="D46" i="7"/>
  <c r="E46" i="7"/>
  <c r="C47" i="7"/>
  <c r="D47" i="7"/>
  <c r="E47" i="7"/>
  <c r="C48" i="7"/>
  <c r="D48" i="7"/>
  <c r="E48" i="7"/>
  <c r="C49" i="7"/>
  <c r="D49" i="7"/>
  <c r="E49" i="7"/>
  <c r="C50" i="7"/>
  <c r="D50" i="7"/>
  <c r="E50" i="7"/>
  <c r="C51" i="7"/>
  <c r="D51" i="7"/>
  <c r="E51" i="7"/>
  <c r="C52" i="7"/>
  <c r="D52" i="7"/>
  <c r="E52" i="7"/>
  <c r="C53" i="7"/>
  <c r="D53" i="7"/>
  <c r="E53" i="7"/>
  <c r="C54" i="7"/>
  <c r="D54" i="7"/>
  <c r="E54" i="7"/>
  <c r="C55" i="7"/>
  <c r="D55" i="7"/>
  <c r="E55" i="7"/>
  <c r="C56" i="7"/>
  <c r="D56" i="7"/>
  <c r="E56" i="7"/>
  <c r="C57" i="7"/>
  <c r="D57" i="7"/>
  <c r="E57" i="7"/>
  <c r="C58" i="7"/>
  <c r="D58" i="7"/>
  <c r="E58" i="7"/>
  <c r="C59" i="7"/>
  <c r="D59" i="7"/>
  <c r="E59" i="7"/>
  <c r="C60" i="7"/>
  <c r="D60" i="7"/>
  <c r="E60" i="7"/>
  <c r="C61" i="7"/>
  <c r="D61" i="7"/>
  <c r="E61" i="7"/>
  <c r="C62" i="7"/>
  <c r="D62" i="7"/>
  <c r="E62" i="7"/>
  <c r="C63" i="7"/>
  <c r="D63" i="7"/>
  <c r="E63" i="7"/>
  <c r="C64" i="7"/>
  <c r="D64" i="7"/>
  <c r="C65" i="7"/>
  <c r="D65" i="7"/>
  <c r="E65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3" i="7"/>
  <c r="C2" i="8"/>
  <c r="C36" i="11"/>
  <c r="D36" i="11" s="1"/>
  <c r="C35" i="11"/>
  <c r="D35" i="11" s="1"/>
  <c r="C34" i="11"/>
  <c r="D34" i="11" s="1"/>
  <c r="C31" i="11"/>
  <c r="D31" i="11" s="1"/>
  <c r="C30" i="11"/>
  <c r="D30" i="11" s="1"/>
  <c r="C29" i="11"/>
  <c r="D29" i="11" s="1"/>
  <c r="C27" i="11"/>
  <c r="D27" i="11" s="1"/>
  <c r="C26" i="11"/>
  <c r="C25" i="11"/>
  <c r="D25" i="11" s="1"/>
  <c r="C24" i="11"/>
  <c r="D24" i="11" s="1"/>
  <c r="C23" i="11"/>
  <c r="D23" i="11" s="1"/>
  <c r="C22" i="11"/>
  <c r="D22" i="11" s="1"/>
  <c r="C15" i="11"/>
  <c r="D15" i="11" s="1"/>
  <c r="C11" i="11" a="1"/>
  <c r="C11" i="11" s="1"/>
  <c r="D11" i="11" s="1"/>
  <c r="D9" i="11"/>
  <c r="D12" i="11"/>
  <c r="D26" i="11"/>
  <c r="D40" i="11"/>
  <c r="D43" i="11"/>
  <c r="D44" i="11"/>
  <c r="D45" i="11"/>
  <c r="D46" i="11"/>
  <c r="C23" i="8"/>
  <c r="C29" i="8"/>
  <c r="C28" i="8"/>
  <c r="C27" i="8"/>
  <c r="C26" i="8"/>
  <c r="C21" i="8"/>
  <c r="C20" i="8"/>
  <c r="O5" i="1"/>
  <c r="O6" i="1"/>
  <c r="O7" i="1"/>
  <c r="O8" i="1"/>
  <c r="O9" i="1"/>
  <c r="O10" i="1"/>
  <c r="O11" i="1"/>
  <c r="O4" i="1"/>
  <c r="M12" i="3"/>
  <c r="E78" i="12" l="1"/>
  <c r="C84" i="12"/>
  <c r="C43" i="11"/>
  <c r="C39" i="11"/>
  <c r="D39" i="11" s="1"/>
  <c r="C45" i="11"/>
  <c r="C44" i="11"/>
  <c r="C40" i="11"/>
  <c r="C37" i="11"/>
  <c r="D37" i="11" s="1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M70" i="1"/>
  <c r="F5" i="7" s="1"/>
  <c r="G63" i="7"/>
  <c r="G14" i="7"/>
  <c r="M13" i="3"/>
  <c r="M51" i="1" s="1"/>
  <c r="C3" i="10"/>
  <c r="C3" i="9"/>
  <c r="G11" i="8"/>
  <c r="C36" i="8"/>
  <c r="C30" i="8"/>
  <c r="C22" i="9"/>
  <c r="C20" i="9"/>
  <c r="C18" i="9"/>
  <c r="C13" i="9"/>
  <c r="C11" i="9"/>
  <c r="C9" i="9"/>
  <c r="C7" i="9"/>
  <c r="C5" i="9"/>
  <c r="C4" i="8"/>
  <c r="C9" i="8"/>
  <c r="C12" i="8" s="1"/>
  <c r="C18" i="8" s="1"/>
  <c r="I65" i="7"/>
  <c r="G65" i="7"/>
  <c r="I64" i="7"/>
  <c r="G64" i="7"/>
  <c r="D8" i="11" s="1"/>
  <c r="F5" i="8"/>
  <c r="G29" i="7"/>
  <c r="C41" i="11" l="1"/>
  <c r="D41" i="11" s="1"/>
  <c r="C90" i="12"/>
  <c r="E84" i="12"/>
  <c r="G30" i="7"/>
  <c r="G46" i="7"/>
  <c r="G24" i="7"/>
  <c r="F6" i="8"/>
  <c r="G6" i="8" s="1"/>
  <c r="G10" i="7"/>
  <c r="G5" i="7"/>
  <c r="G21" i="7"/>
  <c r="G53" i="7"/>
  <c r="G18" i="7"/>
  <c r="G22" i="7"/>
  <c r="K55" i="7" s="1"/>
  <c r="F4" i="7"/>
  <c r="G34" i="7"/>
  <c r="M27" i="1"/>
  <c r="G26" i="7" s="1"/>
  <c r="M40" i="1"/>
  <c r="G39" i="7" s="1"/>
  <c r="M43" i="1"/>
  <c r="M49" i="1"/>
  <c r="G48" i="7" s="1"/>
  <c r="M28" i="1"/>
  <c r="G27" i="7" s="1"/>
  <c r="M42" i="1"/>
  <c r="M50" i="1"/>
  <c r="G49" i="7" s="1"/>
  <c r="M41" i="1"/>
  <c r="F9" i="7"/>
  <c r="F7" i="7"/>
  <c r="F10" i="7"/>
  <c r="F8" i="7"/>
  <c r="F6" i="7"/>
  <c r="G13" i="7"/>
  <c r="G43" i="7"/>
  <c r="G61" i="7"/>
  <c r="G37" i="7"/>
  <c r="G16" i="7"/>
  <c r="G62" i="7"/>
  <c r="G11" i="7"/>
  <c r="G50" i="7"/>
  <c r="G51" i="7"/>
  <c r="G59" i="7"/>
  <c r="G20" i="7"/>
  <c r="G32" i="7"/>
  <c r="G36" i="7"/>
  <c r="G56" i="7"/>
  <c r="C46" i="11"/>
  <c r="C32" i="11"/>
  <c r="D32" i="11" s="1"/>
  <c r="C28" i="11"/>
  <c r="D28" i="11" s="1"/>
  <c r="G33" i="7"/>
  <c r="G41" i="7"/>
  <c r="G19" i="7"/>
  <c r="F4" i="8"/>
  <c r="G45" i="7"/>
  <c r="G5" i="8"/>
  <c r="G9" i="7"/>
  <c r="G15" i="7"/>
  <c r="G31" i="7"/>
  <c r="G47" i="7"/>
  <c r="G25" i="7"/>
  <c r="G8" i="7"/>
  <c r="G40" i="7"/>
  <c r="G17" i="7"/>
  <c r="G57" i="7"/>
  <c r="G23" i="7"/>
  <c r="G6" i="7"/>
  <c r="G35" i="7"/>
  <c r="G55" i="7"/>
  <c r="G38" i="7"/>
  <c r="G54" i="7"/>
  <c r="G7" i="7"/>
  <c r="G4" i="7"/>
  <c r="G52" i="7"/>
  <c r="G60" i="7"/>
  <c r="G12" i="7"/>
  <c r="G44" i="7"/>
  <c r="G58" i="7"/>
  <c r="G28" i="7"/>
  <c r="G42" i="7"/>
  <c r="G3" i="7"/>
  <c r="C24" i="9"/>
  <c r="C15" i="9"/>
  <c r="C8" i="8"/>
  <c r="C11" i="8" s="1"/>
  <c r="C17" i="8" s="1"/>
  <c r="E90" i="12" l="1"/>
  <c r="C7" i="11"/>
  <c r="D7" i="11" s="1"/>
  <c r="K59" i="7"/>
  <c r="K57" i="7"/>
  <c r="C42" i="8"/>
  <c r="I6" i="8"/>
  <c r="H6" i="8"/>
  <c r="H5" i="8"/>
  <c r="G12" i="8"/>
  <c r="C16" i="11" s="1"/>
  <c r="D16" i="11" s="1"/>
  <c r="I5" i="8"/>
  <c r="G14" i="8"/>
  <c r="C19" i="11" s="1"/>
  <c r="D19" i="11" s="1"/>
  <c r="C13" i="11"/>
  <c r="D13" i="11" s="1"/>
  <c r="C6" i="11"/>
  <c r="D6" i="11" s="1"/>
  <c r="C5" i="11"/>
  <c r="D5" i="11" s="1"/>
  <c r="F7" i="8"/>
  <c r="C41" i="8"/>
  <c r="G4" i="8"/>
  <c r="G7" i="8"/>
  <c r="G13" i="8" s="1"/>
  <c r="C18" i="11" s="1"/>
  <c r="G67" i="7"/>
  <c r="C27" i="9"/>
  <c r="C20" i="11" l="1"/>
  <c r="D18" i="11"/>
  <c r="C40" i="8"/>
  <c r="H4" i="8"/>
  <c r="C10" i="11"/>
  <c r="D10" i="11" s="1"/>
  <c r="I4" i="8"/>
  <c r="G10" i="8" s="1"/>
  <c r="G9" i="8"/>
  <c r="C43" i="8"/>
  <c r="C44" i="8" l="1"/>
  <c r="G15" i="8" s="1"/>
  <c r="C14" i="11" s="1"/>
  <c r="F4" i="1"/>
  <c r="G4" i="1" s="1"/>
  <c r="G34" i="1"/>
  <c r="G37" i="1"/>
  <c r="G39" i="1"/>
  <c r="G42" i="1"/>
  <c r="E4" i="1"/>
  <c r="C46" i="3"/>
  <c r="C41" i="3"/>
  <c r="C37" i="3"/>
  <c r="C32" i="3"/>
  <c r="C28" i="3"/>
  <c r="C20" i="3"/>
  <c r="C17" i="3"/>
  <c r="C13" i="3"/>
  <c r="C10" i="3"/>
  <c r="C17" i="11" l="1"/>
  <c r="D17" i="11" s="1"/>
  <c r="D14" i="11"/>
  <c r="G17" i="8"/>
  <c r="H4" i="1"/>
  <c r="C21" i="3"/>
  <c r="C33" i="3" s="1"/>
  <c r="C38" i="3" s="1"/>
  <c r="C42" i="3" s="1"/>
  <c r="C47" i="3" s="1"/>
  <c r="C49" i="3" s="1"/>
  <c r="D20" i="11" l="1"/>
  <c r="C21" i="11"/>
  <c r="F37" i="3"/>
  <c r="F32" i="3"/>
  <c r="F28" i="3"/>
  <c r="F20" i="3"/>
  <c r="F17" i="3"/>
  <c r="D21" i="11" l="1"/>
  <c r="C33" i="11"/>
  <c r="C38" i="11" s="1"/>
  <c r="F79" i="1"/>
  <c r="F78" i="1"/>
  <c r="F77" i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1" i="1"/>
  <c r="G41" i="1" s="1"/>
  <c r="F40" i="1"/>
  <c r="G40" i="1" s="1"/>
  <c r="F38" i="1"/>
  <c r="G38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E79" i="1"/>
  <c r="G79" i="1" s="1"/>
  <c r="E78" i="1"/>
  <c r="G78" i="1" s="1"/>
  <c r="E77" i="1"/>
  <c r="G77" i="1" s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33" i="11" l="1"/>
  <c r="C42" i="11"/>
  <c r="D38" i="11"/>
  <c r="H76" i="1"/>
  <c r="C47" i="11" l="1"/>
  <c r="D42" i="11"/>
  <c r="J75" i="1"/>
  <c r="H77" i="1"/>
  <c r="D47" i="11" l="1"/>
  <c r="C49" i="11" l="1"/>
  <c r="D49" i="11" s="1"/>
  <c r="C92" i="12"/>
  <c r="D48" i="11" l="1"/>
  <c r="E92" i="12"/>
  <c r="C94" i="12"/>
  <c r="E94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<sst xmlns="http://schemas.openxmlformats.org/spreadsheetml/2006/main" count="871" uniqueCount="358">
  <si>
    <t>MP1</t>
  </si>
  <si>
    <t>MP2</t>
  </si>
  <si>
    <t>MP3</t>
  </si>
  <si>
    <t>MP4</t>
  </si>
  <si>
    <t>MP5</t>
  </si>
  <si>
    <t>MP6</t>
  </si>
  <si>
    <t>MP7</t>
  </si>
  <si>
    <t>MP8</t>
  </si>
  <si>
    <t>MP9</t>
  </si>
  <si>
    <t>MP10</t>
  </si>
  <si>
    <t>MP11</t>
  </si>
  <si>
    <t>MP12</t>
  </si>
  <si>
    <t>MP13</t>
  </si>
  <si>
    <t>MP14</t>
  </si>
  <si>
    <t>PCL1</t>
  </si>
  <si>
    <t>PCL2</t>
  </si>
  <si>
    <t>PCL3</t>
  </si>
  <si>
    <t>PCL4</t>
  </si>
  <si>
    <t>PCL5</t>
  </si>
  <si>
    <t>PF P1</t>
  </si>
  <si>
    <t>PF P2</t>
  </si>
  <si>
    <t>PF P3</t>
  </si>
  <si>
    <t>PF P4</t>
  </si>
  <si>
    <t>PF P5</t>
  </si>
  <si>
    <t>PF P6</t>
  </si>
  <si>
    <t>PF P7</t>
  </si>
  <si>
    <t>PF V1</t>
  </si>
  <si>
    <t>PF V2</t>
  </si>
  <si>
    <t>PF V3</t>
  </si>
  <si>
    <t>PF V4</t>
  </si>
  <si>
    <t>PF V5</t>
  </si>
  <si>
    <t>PF V6</t>
  </si>
  <si>
    <t>PF V7</t>
  </si>
  <si>
    <t>PF V8</t>
  </si>
  <si>
    <t>PF V9</t>
  </si>
  <si>
    <t>PF V10</t>
  </si>
  <si>
    <t>PF V11</t>
  </si>
  <si>
    <t>PF V12</t>
  </si>
  <si>
    <t>PF V13</t>
  </si>
  <si>
    <t>PF V14</t>
  </si>
  <si>
    <t>PF V15</t>
  </si>
  <si>
    <t>PF V16</t>
  </si>
  <si>
    <t>PF A1</t>
  </si>
  <si>
    <t>PF A2</t>
  </si>
  <si>
    <t>PF A3</t>
  </si>
  <si>
    <t>PF A4</t>
  </si>
  <si>
    <t>PF A5</t>
  </si>
  <si>
    <t>PF A6</t>
  </si>
  <si>
    <t>PF A7</t>
  </si>
  <si>
    <t>PF A8</t>
  </si>
  <si>
    <t>PF A9</t>
  </si>
  <si>
    <t>PF A10</t>
  </si>
  <si>
    <t>PF A11</t>
  </si>
  <si>
    <t>PF A12</t>
  </si>
  <si>
    <t>PF A13</t>
  </si>
  <si>
    <t>PF A14</t>
  </si>
  <si>
    <t>PF A15</t>
  </si>
  <si>
    <t>PF A16</t>
  </si>
  <si>
    <t>PF A17</t>
  </si>
  <si>
    <t>PF A18</t>
  </si>
  <si>
    <t>PF A19</t>
  </si>
  <si>
    <t>Spese trasporto</t>
  </si>
  <si>
    <t>Premio Year22</t>
  </si>
  <si>
    <t>Addebiti vari</t>
  </si>
  <si>
    <t>Budget vendite 2022</t>
  </si>
  <si>
    <t>CONSUNTIVO</t>
  </si>
  <si>
    <t>Y1</t>
  </si>
  <si>
    <t>RICAVI DELLE VENDITE DI PRODOTTI FINITI</t>
  </si>
  <si>
    <t>ALTRI RICAVI E LAVORI IN ECONOMIA</t>
  </si>
  <si>
    <t>VARIAZIONE PRODOTTI FINITI</t>
  </si>
  <si>
    <t>A)  TOTALE RICAVI PRODUZIONE</t>
  </si>
  <si>
    <t xml:space="preserve">ACQUISTO MATERIE PRIME </t>
  </si>
  <si>
    <t>VARIAZIONE SCORTE</t>
  </si>
  <si>
    <t>B)  TOTALE COSTI MATERIE PRIME</t>
  </si>
  <si>
    <t>COSTO ENERGIA TOTALE</t>
  </si>
  <si>
    <t>MATERIALI DI CONSUMO</t>
  </si>
  <si>
    <t>PULIZIA E SMALTIMENTO RIFIUTI</t>
  </si>
  <si>
    <t>C)  COSTI VARIABILI DI PRODUZIONE</t>
  </si>
  <si>
    <t>TRASPORTI E ONERI DI VENDITA + ACQUISTO</t>
  </si>
  <si>
    <t>COSTO DI VENDITA - PROVVIGIONI-ENASARCO</t>
  </si>
  <si>
    <t>D)  TOTALE COSTI DI VENDITA</t>
  </si>
  <si>
    <t>E)  MARGINE OPERATIVO LORDO (A-B-C-D)</t>
  </si>
  <si>
    <t>COSTO DEL PERSONALE</t>
  </si>
  <si>
    <t>MANUTENZIONI</t>
  </si>
  <si>
    <t>ALTRI ONERI DEL PERSONALE</t>
  </si>
  <si>
    <t>ASSICURAZIONI</t>
  </si>
  <si>
    <t>CONSULENZE TECNICHE E CANONI ACQUE</t>
  </si>
  <si>
    <t>COSTO PER GODIMENTO DI BENI DI TERZI</t>
  </si>
  <si>
    <t>F) TOTALE COSTI FISSI DI PRODUZIONE</t>
  </si>
  <si>
    <t xml:space="preserve">CONSULENZE E AMMINISTRATORI </t>
  </si>
  <si>
    <t>SPESE UFFICIO VARIE E ONERI DIVERSI DI GESTIONE</t>
  </si>
  <si>
    <t>IMPOSTE E TASSE VARIE NON SUL REDDITO</t>
  </si>
  <si>
    <t>G) TOTALE COSTI STRUTTURA COMM./AMM.VA</t>
  </si>
  <si>
    <t>H) REDDITO OPERATIVO (EBITDA) (E-F-G)</t>
  </si>
  <si>
    <t>AMMORTAMENTI IMMOBILIZZAZIONI IMMATERIALI</t>
  </si>
  <si>
    <t>AMMORTAMENTI IMMOBILIZZAZIONI MATERIALI</t>
  </si>
  <si>
    <t>SVALUTAZIONE CREDITI</t>
  </si>
  <si>
    <t>I) TOTALE AMMORTAMENTI</t>
  </si>
  <si>
    <t>L) MARGINE OPERATIVO NETTO (EBIT) (H-I)</t>
  </si>
  <si>
    <t>(ONERI FINANZIARI)</t>
  </si>
  <si>
    <t>PROVENTI FINANZIARI</t>
  </si>
  <si>
    <t>M)  ONERI E PROVENTI FINANZIARI NETTI</t>
  </si>
  <si>
    <t>N) REDDITO OPERATIVO GESTIONE CARATTERISTICA (L-M)</t>
  </si>
  <si>
    <t>(ONERI STRAORDINARI)</t>
  </si>
  <si>
    <t>PROVENTI STRAORDINARI</t>
  </si>
  <si>
    <t>(SVALUTAZIONI-ACCANTONAMENTI)</t>
  </si>
  <si>
    <t>O) ONERI E PROVENTI STRAORDINARI NETTI</t>
  </si>
  <si>
    <t>P) RISULTATO ANTE IMPOSTE (N-O)</t>
  </si>
  <si>
    <t>IMPOSTE SUL REDDITO</t>
  </si>
  <si>
    <t>RISULTATO NETTO</t>
  </si>
  <si>
    <t>Articolo</t>
  </si>
  <si>
    <t>Quantità (kg)</t>
  </si>
  <si>
    <t>P medio (€/kg)</t>
  </si>
  <si>
    <t>PF P</t>
  </si>
  <si>
    <t>Servizi Generali</t>
  </si>
  <si>
    <t>MP</t>
  </si>
  <si>
    <t>PCL</t>
  </si>
  <si>
    <t>PF</t>
  </si>
  <si>
    <t>Others</t>
  </si>
  <si>
    <t>CMP medio (€/kg)</t>
  </si>
  <si>
    <t>CONSUMI ENERGETICI FORECAST '22</t>
  </si>
  <si>
    <t>COSTO DI VENDITA - PROVVIGIONI</t>
  </si>
  <si>
    <t xml:space="preserve">TRASPORTI E ONERI DI VENDITA </t>
  </si>
  <si>
    <t>ii) Visti i trend di crescita sul costo del metano, nel 2022 è previsto un aumento dei costi di trasporto di circa 8%.</t>
  </si>
  <si>
    <t>Categoria</t>
  </si>
  <si>
    <t>Le provvigioni sono circa il 2% dell' imponibile di vendita delle solo polveri.</t>
  </si>
  <si>
    <t>Budget rivisto al ribasso di 150k€.</t>
  </si>
  <si>
    <t>In linea con 2021.</t>
  </si>
  <si>
    <t xml:space="preserve">In linea con 2021, costo previsto in aumento per prudenza del 2,5% </t>
  </si>
  <si>
    <t>Non sono previsto svalutazioni e/o accantonamenti</t>
  </si>
  <si>
    <t>Non sono previste svalutazioni credito.</t>
  </si>
  <si>
    <t>Non sono previsti proventi finanziari</t>
  </si>
  <si>
    <t>Non sono previsti oneri straordinari</t>
  </si>
  <si>
    <t>Non sono previsti proventi straordinari</t>
  </si>
  <si>
    <t>PREVISIONE COSTI VARIABILI 2022</t>
  </si>
  <si>
    <t>PREVISIONE COSTI FISSI 2022</t>
  </si>
  <si>
    <t>PREVISIONE ALTRI COSTI 2022</t>
  </si>
  <si>
    <r>
      <t>RICAVI DELLE VENDITE DI MATERIE PRIME</t>
    </r>
    <r>
      <rPr>
        <sz val="8"/>
        <rFont val="Calibri Light"/>
        <family val="2"/>
        <scheme val="major"/>
      </rPr>
      <t xml:space="preserve"> </t>
    </r>
    <r>
      <rPr>
        <sz val="8"/>
        <color theme="0"/>
        <rFont val="Calibri Light"/>
        <family val="2"/>
        <scheme val="major"/>
      </rPr>
      <t>- RIADDEBITI MP A GAMMA</t>
    </r>
  </si>
  <si>
    <r>
      <t xml:space="preserve">RICAVI CONTO LAVORAZIONE </t>
    </r>
    <r>
      <rPr>
        <sz val="9.8000000000000007"/>
        <color theme="0"/>
        <rFont val="Calibri Light"/>
        <family val="2"/>
        <scheme val="major"/>
      </rPr>
      <t>- GAMMA E POLIKEMIA</t>
    </r>
  </si>
  <si>
    <t>FAR Polymers s.r.l.</t>
  </si>
  <si>
    <t>MP15</t>
  </si>
  <si>
    <t>MP16</t>
  </si>
  <si>
    <t>MP17</t>
  </si>
  <si>
    <t>MP18</t>
  </si>
  <si>
    <t>MP19</t>
  </si>
  <si>
    <t>MP20</t>
  </si>
  <si>
    <t>MP21</t>
  </si>
  <si>
    <t>MP22</t>
  </si>
  <si>
    <t>MP23</t>
  </si>
  <si>
    <t>MP24</t>
  </si>
  <si>
    <t>PF P8</t>
  </si>
  <si>
    <t>PF V17</t>
  </si>
  <si>
    <t xml:space="preserve">NB: </t>
  </si>
  <si>
    <t>i) le spese di trasporto sono un riaccredito da parte di un cliente.</t>
  </si>
  <si>
    <t>Premio Year21</t>
  </si>
  <si>
    <t>ii) i premi vanno a diminuire il ricavo perché erogati a clienti</t>
  </si>
  <si>
    <t>MP con dazio (6,5%)</t>
  </si>
  <si>
    <t>x</t>
  </si>
  <si>
    <t>CMP medio ($/kg)</t>
  </si>
  <si>
    <t>P medio ($/kg)</t>
  </si>
  <si>
    <t>Attivazione nuova linea di credito di 3 mln € dal 01.06.22 con tasso 5%/y</t>
  </si>
  <si>
    <t>i) i costi di trasporto sono da considerare solo per le vendite e non per gli acquisti.</t>
  </si>
  <si>
    <t>Consuntivo 2022</t>
  </si>
  <si>
    <t>30% del risultato ante imposte</t>
  </si>
  <si>
    <t>kWh /mese</t>
  </si>
  <si>
    <t>i) La vendita di polveri richiede la produzione di emulsioni viniliche, PF V, (*1,67) e i prodotti di conto lavoro sono processati nel reparto acriliche (per tutti i prodotti produzione=vendite).</t>
  </si>
  <si>
    <t>iv) il consumo specifico per tonnellata di prodotto finito si può considerare costante tra 2021 e 2022. Nel 2021 sono stati spesi 3,45 mln € di costi energetici totali e sono stati consumati 8.997.222,22 kWh e 4.300.000 smc.</t>
  </si>
  <si>
    <t>Consumi energia elettrica [kWh/ton]</t>
  </si>
  <si>
    <t xml:space="preserve">Costo in aumento rispetto al 2021 per aumenti da CCNL (in media 50€ mese per persona lordi per 100 persone). </t>
  </si>
  <si>
    <t>CE consuntivo 2022</t>
  </si>
  <si>
    <t>Costi 2021</t>
  </si>
  <si>
    <t xml:space="preserve">Costo previsto in aumento SUL 2021 solo per componente inflazione 2,5% </t>
  </si>
  <si>
    <t xml:space="preserve">PF V </t>
  </si>
  <si>
    <t>ii) Il costo di trasporto medio del 2021 per tonnellata di prodotto venduto è stato pari a 40 €/ton.</t>
  </si>
  <si>
    <t>iii) il costo medio del metano è previsto in crescita rispetto al'anno precedente del 14%, mentre il costo medio dell'energia elettrica del 11%. Il costo delle componenti energetiche a bilancio è composto per il 41% da Energia elettrica.</t>
  </si>
  <si>
    <t>Il costo di smaltimento è stimabile in 10,24 euro per tonnellata di produzione solo sulle emulsioni.</t>
  </si>
  <si>
    <t>Nuovo investimento da ammortizzare da 750k€ in impianti e macchinari chimici</t>
  </si>
  <si>
    <t>Consumi metano</t>
  </si>
  <si>
    <t>Cons specifico [smc/ton]</t>
  </si>
  <si>
    <r>
      <t>Cons specifico [ton</t>
    </r>
    <r>
      <rPr>
        <b/>
        <vertAlign val="subscript"/>
        <sz val="11"/>
        <rFont val="Calibri Light"/>
        <family val="2"/>
      </rPr>
      <t>VAP</t>
    </r>
    <r>
      <rPr>
        <b/>
        <sz val="11"/>
        <rFont val="Calibri Light"/>
        <family val="2"/>
        <scheme val="major"/>
      </rPr>
      <t xml:space="preserve"> /ton</t>
    </r>
    <r>
      <rPr>
        <b/>
        <vertAlign val="subscript"/>
        <sz val="11"/>
        <rFont val="Calibri Light"/>
        <family val="2"/>
        <scheme val="major"/>
      </rPr>
      <t>PF</t>
    </r>
    <r>
      <rPr>
        <b/>
        <sz val="11"/>
        <rFont val="Calibri Light"/>
        <family val="2"/>
        <scheme val="major"/>
      </rPr>
      <t>]</t>
    </r>
  </si>
  <si>
    <t xml:space="preserve">PF A </t>
  </si>
  <si>
    <t>vi) per fare una tonnellata di vapore, servono 86 smc</t>
  </si>
  <si>
    <t>v) dal nuovo anno, prevista riassegnazione quote CO2:le quote gratuite coprono il 75% delle quote totali, le rimanenti devono essere acquistate. Una quota di CO2 corrisponde ad una teonnellata di vapore e costa 71 €/ton.</t>
  </si>
  <si>
    <t>ii) il consumo di metano è considerato integralmente variabile (strettamente legato alla produzione). NB mentre le produzioni di polveri consumano direttamente metano, le produzioni di acriliche e viniliche consumano vapore.</t>
  </si>
  <si>
    <t>€</t>
  </si>
  <si>
    <t>*a bilancio 2021</t>
  </si>
  <si>
    <t>*materiale, non immateriale</t>
  </si>
  <si>
    <t>ammoratamento 10 anni, non 10 % anno, ma circa 6.25% il primo anno, poi 8 anni 12.5 %, ultimo anno 6.25.</t>
  </si>
  <si>
    <t>*verificare il dato ma dovrebbe essere qeusto</t>
  </si>
  <si>
    <t>*non importa quanti anni, noi guardiamo solo il primo</t>
  </si>
  <si>
    <t xml:space="preserve">poi fare *7/12 perche solo una parte </t>
  </si>
  <si>
    <t>1, da dove arrivano alcuni numeri</t>
  </si>
  <si>
    <t>qta</t>
  </si>
  <si>
    <t>€/qta</t>
  </si>
  <si>
    <t>vedi note</t>
  </si>
  <si>
    <t>Quantità Budget (kg)</t>
  </si>
  <si>
    <t>Prezzo Budget (€/kg)</t>
  </si>
  <si>
    <t>Ricavo Budget (€)</t>
  </si>
  <si>
    <t>Note</t>
  </si>
  <si>
    <t>Totale Ricavi Budget</t>
  </si>
  <si>
    <t>Voce di costo</t>
  </si>
  <si>
    <t>Formula/base di cacolo</t>
  </si>
  <si>
    <t>Valore Budget (€)</t>
  </si>
  <si>
    <t>Famiglia</t>
  </si>
  <si>
    <t>P</t>
  </si>
  <si>
    <t>V</t>
  </si>
  <si>
    <t>A</t>
  </si>
  <si>
    <t>Polveri A, consumi diversi dai primi due</t>
  </si>
  <si>
    <t>PF V</t>
  </si>
  <si>
    <t>PF A</t>
  </si>
  <si>
    <t>Totale PF</t>
  </si>
  <si>
    <t>quantita budget (kg)</t>
  </si>
  <si>
    <t>Quantità Budget (ton)</t>
  </si>
  <si>
    <t>Costo energia totale 2021</t>
  </si>
  <si>
    <t>% elettricità</t>
  </si>
  <si>
    <t>% metano</t>
  </si>
  <si>
    <t>kWh 2021</t>
  </si>
  <si>
    <t>smc metano 2021</t>
  </si>
  <si>
    <t>Costo elettricità 2021</t>
  </si>
  <si>
    <t>Costo Metano 2021</t>
  </si>
  <si>
    <t>Prezzo €/kWh 2021</t>
  </si>
  <si>
    <t>Prezzo €/smc 2021</t>
  </si>
  <si>
    <t>Aumento Elettricità 2022</t>
  </si>
  <si>
    <t>Aumento Metano 2022</t>
  </si>
  <si>
    <t>Prezzo €/kWh 2022</t>
  </si>
  <si>
    <t>Prezzo €/smc 2022</t>
  </si>
  <si>
    <t>Costo metano</t>
  </si>
  <si>
    <t>Costo energia elettrica</t>
  </si>
  <si>
    <t>Materiali di consumo</t>
  </si>
  <si>
    <t>Pulizia e smaltimento rifiuti</t>
  </si>
  <si>
    <t>Trasporti vendita</t>
  </si>
  <si>
    <t>Provvigioni su vendite</t>
  </si>
  <si>
    <t>Totale costi variabili</t>
  </si>
  <si>
    <t>ton vapore PF P</t>
  </si>
  <si>
    <t>ton vapore tot</t>
  </si>
  <si>
    <t>quote da acquistare</t>
  </si>
  <si>
    <t>costo CO2</t>
  </si>
  <si>
    <t xml:space="preserve">Costo del personale </t>
  </si>
  <si>
    <t>Manutenzioni</t>
  </si>
  <si>
    <t>Altri oneri del personale</t>
  </si>
  <si>
    <t xml:space="preserve">Assicurazioni </t>
  </si>
  <si>
    <t>Consulenze tecniche e canoni acque</t>
  </si>
  <si>
    <t>Costo per godimento di beni di terzi</t>
  </si>
  <si>
    <t>Consulenze e amministrazioni</t>
  </si>
  <si>
    <t>Spese ufficio varie e oneri diversi di gestione</t>
  </si>
  <si>
    <t>Imposte e tasse varie non sul reddito</t>
  </si>
  <si>
    <t xml:space="preserve">Totale budget costi fissi di produzione </t>
  </si>
  <si>
    <t>Totale budget costi struttura comm./amm.va</t>
  </si>
  <si>
    <t>TOTALE BUDGET COSTI FISSI</t>
  </si>
  <si>
    <t>smc per ton vapore</t>
  </si>
  <si>
    <t>kWh per ton V</t>
  </si>
  <si>
    <t>kWh per ton A</t>
  </si>
  <si>
    <t>costo per quota CO2</t>
  </si>
  <si>
    <t xml:space="preserve">Note </t>
  </si>
  <si>
    <t>Ammortamenti immobilizzazioni immateriali</t>
  </si>
  <si>
    <t>Ammortamenti immobilizzazioni materiali</t>
  </si>
  <si>
    <t>Svalutazione crediti</t>
  </si>
  <si>
    <t>Oneri finanziari</t>
  </si>
  <si>
    <t>Proventi finanziari</t>
  </si>
  <si>
    <t>Oneri straordinari</t>
  </si>
  <si>
    <t>Proventi straordinari</t>
  </si>
  <si>
    <t>Svalutazioni-accantonamenti</t>
  </si>
  <si>
    <t>Imposte sul reddito</t>
  </si>
  <si>
    <t>va calcolata dopo il CE budget, perché dipende dal margine operativo + finanziario</t>
  </si>
  <si>
    <t>kWh Servizi Generali mensile</t>
  </si>
  <si>
    <t>kWh Servizi Generali annui</t>
  </si>
  <si>
    <t>Costo smaltimento per ton di emulsione</t>
  </si>
  <si>
    <t>Costo trasporto per ton 2021</t>
  </si>
  <si>
    <t>aumento costo trasporto 2022</t>
  </si>
  <si>
    <t>Costo trasporto per ton 2022</t>
  </si>
  <si>
    <t>provvigioni su vendite di polveri</t>
  </si>
  <si>
    <t>valore moltiplicato per 1.4 per via del folle cuneo fiscale italiano</t>
  </si>
  <si>
    <t>ton vapore A</t>
  </si>
  <si>
    <t>ton vapore V</t>
  </si>
  <si>
    <t>ton di V per fare 1 Ton di P</t>
  </si>
  <si>
    <t>kWh per ton P (escluse le v)</t>
  </si>
  <si>
    <t>cons smc per ton P (comprese le v)</t>
  </si>
  <si>
    <t>nuovo investimento</t>
  </si>
  <si>
    <t>quota primo anno</t>
  </si>
  <si>
    <t>Tasso di cambio</t>
  </si>
  <si>
    <t xml:space="preserve">euro </t>
  </si>
  <si>
    <t>dollari</t>
  </si>
  <si>
    <t>dollaro</t>
  </si>
  <si>
    <t>"="</t>
  </si>
  <si>
    <t>cambiare solo la cella arancio</t>
  </si>
  <si>
    <t>Dazio</t>
  </si>
  <si>
    <t>CMP euro/kg</t>
  </si>
  <si>
    <t>//</t>
  </si>
  <si>
    <t>RICAVI DELLE VENDITE DI MATERIE PRIME - RIADDEBITI MP A GAMMA</t>
  </si>
  <si>
    <t>RICAVI CONTO LAVORAZIONE - GAMMA E POLIKEMIA</t>
  </si>
  <si>
    <t>CE mix totale 2022</t>
  </si>
  <si>
    <t>1, dove vanno i costi tasse unione eruopea?</t>
  </si>
  <si>
    <t>ora vanno fatti mix un po alla volta per capire da dove slatano fuori i delta</t>
  </si>
  <si>
    <t>euro</t>
  </si>
  <si>
    <t>Polveri P, consumi energia/metano diversi</t>
  </si>
  <si>
    <t>Polveri V, consumi medi diversi</t>
  </si>
  <si>
    <t>Ricavi delle vendite di prodotti finiti</t>
  </si>
  <si>
    <t>Ricavi delle vendite di materie prime</t>
  </si>
  <si>
    <t>Ricavi conto lavorazione</t>
  </si>
  <si>
    <t>cons vap per ton A</t>
  </si>
  <si>
    <t>cons vap per ton V</t>
  </si>
  <si>
    <t>Metano usato (smc)</t>
  </si>
  <si>
    <t>Energia elettrica usata (kWh)</t>
  </si>
  <si>
    <t>DELTA</t>
  </si>
  <si>
    <t>Budget 2022</t>
  </si>
  <si>
    <t>Volume (kg)</t>
  </si>
  <si>
    <t>Ricavi (€)</t>
  </si>
  <si>
    <t>Voce</t>
  </si>
  <si>
    <t>Budget</t>
  </si>
  <si>
    <t>Reale</t>
  </si>
  <si>
    <t>∆ Reale-Budget</t>
  </si>
  <si>
    <t>Mix Standard</t>
  </si>
  <si>
    <t>∆ Mix Standard-Budget</t>
  </si>
  <si>
    <t>Mix Effettivo</t>
  </si>
  <si>
    <t>∆ Mix Effettivo-Budget</t>
  </si>
  <si>
    <t>In kg</t>
  </si>
  <si>
    <t>Q MP</t>
  </si>
  <si>
    <t>Q PCL</t>
  </si>
  <si>
    <t>Q PF P</t>
  </si>
  <si>
    <t>Q PF V</t>
  </si>
  <si>
    <t>Q PF A</t>
  </si>
  <si>
    <t>In €</t>
  </si>
  <si>
    <t>Prezzo totale MP</t>
  </si>
  <si>
    <t>Prezzo totale PCL</t>
  </si>
  <si>
    <t>Prezzo totale PF P</t>
  </si>
  <si>
    <t>Prezzo totale PF V</t>
  </si>
  <si>
    <t>Prezzo totale PF A</t>
  </si>
  <si>
    <t>Ricavi totali MP</t>
  </si>
  <si>
    <t>Ricavi totali PCL</t>
  </si>
  <si>
    <t>Ricavi totali PF P</t>
  </si>
  <si>
    <t>Ricavi totali PF V</t>
  </si>
  <si>
    <t>Ricavi totali PF A</t>
  </si>
  <si>
    <t>Ricavi totali PF</t>
  </si>
  <si>
    <t>Altri ricavi</t>
  </si>
  <si>
    <t>Variazione prodotti</t>
  </si>
  <si>
    <t>Totale ricavi di produzione</t>
  </si>
  <si>
    <t>Acquisto MP</t>
  </si>
  <si>
    <t>Variazione scorte</t>
  </si>
  <si>
    <t>Totale costi materie prime</t>
  </si>
  <si>
    <t>Costo energia totale</t>
  </si>
  <si>
    <t>Puizia e smaltimento rifiuti</t>
  </si>
  <si>
    <t>Costi variabili di produzione</t>
  </si>
  <si>
    <t>Trasporti e oneri di vendita + acquisto</t>
  </si>
  <si>
    <t>Costo di vendita- provvigion-enasarco</t>
  </si>
  <si>
    <t>Totale costi di vendita</t>
  </si>
  <si>
    <t>Margine operativo lordo (MON)</t>
  </si>
  <si>
    <t>Costo del personale</t>
  </si>
  <si>
    <t>Assicurazioni</t>
  </si>
  <si>
    <t>Consulenza tecniche e canoni acque</t>
  </si>
  <si>
    <t>Costo per godimento di beni terzi</t>
  </si>
  <si>
    <t>Totale costi fissi di produzione</t>
  </si>
  <si>
    <t>Consulenze e amministratori</t>
  </si>
  <si>
    <t>Totale costi struttura comm./amm.va</t>
  </si>
  <si>
    <t>Reddito operativo (EBITDA)</t>
  </si>
  <si>
    <t>Mix Budget (%)</t>
  </si>
  <si>
    <t>Totale reale</t>
  </si>
  <si>
    <t>Totale budget</t>
  </si>
  <si>
    <t>Rapporto Totale famiglia-MS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</si>
</sst>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6" formatCode="0_ ;[Red]\-0\ "/>
    <numFmt numFmtId="167" formatCode="dd/mm/yy;@"/>
    <numFmt numFmtId="168" formatCode="#,##0;[Red]\(#,##0\)"/>
    <numFmt numFmtId="169" formatCode="#,##0;\(#,##0\)"/>
    <numFmt numFmtId="170" formatCode="0.000%"/>
    <numFmt numFmtId="171" formatCode="_-* #,##0.000_-;\-* #,##0.000_-;_-* &quot;-&quot;??_-;_-@_-"/>
    <numFmt numFmtId="172" formatCode="_-&quot;L.&quot;\ * #,##0_-;\-&quot;L.&quot;\ * #,##0_-;_-&quot;L.&quot;\ * &quot;-&quot;_-;_-@_-"/>
    <numFmt numFmtId="173" formatCode="_-[$€-2]\ * #,##0.00_-;\-[$€-2]\ * #,##0.00_-;_-[$€-2]\ * &quot;-&quot;??_-"/>
    <numFmt numFmtId="174" formatCode="_-* #,##0.00\ _€_-;\-* #,##0.00\ _€_-;_-* &quot;-&quot;??\ _€_-;_-@_-"/>
    <numFmt numFmtId="175" formatCode="_-* #,##0.000\ _€_-;\-* #,##0.000\ _€_-;_-* &quot;-&quot;???\ _€_-;_-@_-"/>
    <numFmt numFmtId="176" formatCode="_-* #,##0.00\ [$€-410]_-;\-* #,##0.00\ [$€-410]_-;_-* &quot;-&quot;??\ [$€-410]_-;_-@_-"/>
    <numFmt numFmtId="177" formatCode="0.000"/>
    <numFmt numFmtId="178" formatCode="#,##0.00_ ;[Red]\-#,##0.00\ "/>
    <numFmt numFmtId="179" formatCode="_-* #,##0.0000_-;\-* #,##0.0000_-;_-* &quot;-&quot;??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9"/>
      <name val="Calibri Light"/>
      <family val="2"/>
      <scheme val="major"/>
    </font>
    <font>
      <sz val="8"/>
      <name val="Book Antiqua"/>
      <family val="1"/>
    </font>
    <font>
      <b/>
      <i/>
      <sz val="14"/>
      <color rgb="FF000066"/>
      <name val="Calibri Light"/>
      <family val="2"/>
      <scheme val="major"/>
    </font>
    <font>
      <b/>
      <sz val="12"/>
      <color indexed="9"/>
      <name val="Calibri Light"/>
      <family val="2"/>
      <scheme val="major"/>
    </font>
    <font>
      <b/>
      <sz val="9"/>
      <color indexed="9"/>
      <name val="Calibri Light"/>
      <family val="2"/>
      <scheme val="major"/>
    </font>
    <font>
      <sz val="8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9.8000000000000007"/>
      <color theme="0"/>
      <name val="Calibri Light"/>
      <family val="2"/>
      <scheme val="major"/>
    </font>
    <font>
      <b/>
      <sz val="9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vertAlign val="subscript"/>
      <sz val="11"/>
      <name val="Calibri Light"/>
      <family val="2"/>
    </font>
    <font>
      <b/>
      <vertAlign val="subscript"/>
      <sz val="1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9"/>
      <name val="Calibri Light"/>
      <family val="2"/>
      <scheme val="major"/>
    </font>
    <font>
      <u/>
      <sz val="11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u/>
      <sz val="11"/>
      <name val="Calibri Light"/>
      <family val="2"/>
      <scheme val="major"/>
    </font>
    <font>
      <sz val="11"/>
      <name val="Calibri"/>
      <family val="2"/>
      <scheme val="minor"/>
    </font>
    <font>
      <u/>
      <sz val="11"/>
      <name val="Calibri Light"/>
      <family val="2"/>
      <scheme val="major"/>
    </font>
    <font>
      <u/>
      <sz val="11"/>
      <color theme="1"/>
      <name val="Calibri"/>
      <family val="2"/>
      <scheme val="minor"/>
    </font>
    <font>
      <b/>
      <u/>
      <sz val="10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u/>
      <sz val="10"/>
      <name val="Calibri Light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">
        <color indexed="64"/>
      </right>
      <top style="mediumDashed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Dashed">
        <color indexed="64"/>
      </top>
      <bottom/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3" fillId="0" borderId="0">
      <alignment horizontal="center" vertical="center"/>
    </xf>
    <xf numFmtId="9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2" fontId="2" fillId="0" borderId="0" applyFont="0" applyFill="0" applyBorder="0" applyAlignment="0" applyProtection="0"/>
    <xf numFmtId="173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1">
    <xf numFmtId="0" fontId="0" fillId="0" borderId="0" xfId="0"/>
    <xf numFmtId="0" fontId="8" fillId="0" borderId="0" xfId="0" applyFont="1"/>
    <xf numFmtId="164" fontId="8" fillId="0" borderId="0" xfId="1" applyNumberFormat="1" applyFont="1"/>
    <xf numFmtId="0" fontId="9" fillId="0" borderId="0" xfId="2" applyFont="1" applyAlignment="1">
      <alignment vertical="center"/>
    </xf>
    <xf numFmtId="0" fontId="9" fillId="0" borderId="0" xfId="5" applyFont="1" applyAlignment="1">
      <alignment vertical="center"/>
    </xf>
    <xf numFmtId="0" fontId="6" fillId="0" borderId="0" xfId="5" applyFont="1" applyAlignment="1">
      <alignment horizontal="center" vertical="center"/>
    </xf>
    <xf numFmtId="3" fontId="9" fillId="0" borderId="0" xfId="5" applyNumberFormat="1" applyFont="1" applyAlignment="1">
      <alignment vertical="center"/>
    </xf>
    <xf numFmtId="0" fontId="6" fillId="0" borderId="0" xfId="2" applyFont="1" applyAlignment="1">
      <alignment horizontal="center" vertical="center"/>
    </xf>
    <xf numFmtId="0" fontId="9" fillId="0" borderId="0" xfId="2" applyFont="1" applyAlignment="1">
      <alignment horizontal="left" vertical="center"/>
    </xf>
    <xf numFmtId="3" fontId="9" fillId="0" borderId="0" xfId="2" applyNumberFormat="1" applyFont="1" applyAlignment="1">
      <alignment vertical="center"/>
    </xf>
    <xf numFmtId="168" fontId="10" fillId="0" borderId="0" xfId="2" applyNumberFormat="1" applyFont="1" applyAlignment="1">
      <alignment wrapText="1"/>
    </xf>
    <xf numFmtId="164" fontId="8" fillId="0" borderId="0" xfId="0" applyNumberFormat="1" applyFont="1"/>
    <xf numFmtId="168" fontId="9" fillId="6" borderId="4" xfId="2" applyNumberFormat="1" applyFont="1" applyFill="1" applyBorder="1" applyAlignment="1">
      <alignment vertical="top"/>
    </xf>
    <xf numFmtId="168" fontId="10" fillId="0" borderId="5" xfId="2" applyNumberFormat="1" applyFont="1" applyBorder="1" applyAlignment="1">
      <alignment wrapText="1"/>
    </xf>
    <xf numFmtId="0" fontId="9" fillId="0" borderId="4" xfId="5" applyFont="1" applyBorder="1" applyAlignment="1">
      <alignment vertical="center"/>
    </xf>
    <xf numFmtId="0" fontId="6" fillId="0" borderId="5" xfId="5" applyFont="1" applyBorder="1" applyAlignment="1">
      <alignment horizontal="center" vertical="center"/>
    </xf>
    <xf numFmtId="0" fontId="6" fillId="0" borderId="4" xfId="5" applyFont="1" applyBorder="1" applyAlignment="1">
      <alignment horizontal="left" vertical="center" wrapText="1"/>
    </xf>
    <xf numFmtId="0" fontId="9" fillId="0" borderId="4" xfId="5" applyFont="1" applyBorder="1" applyAlignment="1">
      <alignment horizontal="left" vertical="center"/>
    </xf>
    <xf numFmtId="3" fontId="9" fillId="0" borderId="5" xfId="5" applyNumberFormat="1" applyFont="1" applyBorder="1" applyAlignment="1">
      <alignment vertical="center"/>
    </xf>
    <xf numFmtId="0" fontId="6" fillId="0" borderId="4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center" vertical="center"/>
    </xf>
    <xf numFmtId="0" fontId="9" fillId="0" borderId="4" xfId="2" applyFont="1" applyBorder="1" applyAlignment="1">
      <alignment horizontal="left" vertical="center"/>
    </xf>
    <xf numFmtId="164" fontId="9" fillId="0" borderId="5" xfId="1" applyNumberFormat="1" applyFont="1" applyFill="1" applyBorder="1" applyAlignment="1">
      <alignment vertical="center"/>
    </xf>
    <xf numFmtId="0" fontId="9" fillId="0" borderId="5" xfId="2" applyFont="1" applyBorder="1" applyAlignment="1">
      <alignment vertical="center"/>
    </xf>
    <xf numFmtId="0" fontId="9" fillId="0" borderId="6" xfId="2" applyFont="1" applyBorder="1" applyAlignment="1">
      <alignment horizontal="left" vertical="center"/>
    </xf>
    <xf numFmtId="0" fontId="9" fillId="0" borderId="7" xfId="2" applyFont="1" applyBorder="1" applyAlignment="1">
      <alignment vertical="center"/>
    </xf>
    <xf numFmtId="0" fontId="9" fillId="0" borderId="8" xfId="2" applyFont="1" applyBorder="1" applyAlignment="1">
      <alignment vertical="center"/>
    </xf>
    <xf numFmtId="169" fontId="8" fillId="0" borderId="0" xfId="0" applyNumberFormat="1" applyFont="1"/>
    <xf numFmtId="3" fontId="4" fillId="0" borderId="0" xfId="2" applyNumberFormat="1" applyFont="1"/>
    <xf numFmtId="3" fontId="5" fillId="0" borderId="0" xfId="2" applyNumberFormat="1" applyFont="1"/>
    <xf numFmtId="170" fontId="4" fillId="0" borderId="0" xfId="4" applyNumberFormat="1" applyFont="1" applyFill="1" applyBorder="1"/>
    <xf numFmtId="168" fontId="9" fillId="8" borderId="12" xfId="2" applyNumberFormat="1" applyFont="1" applyFill="1" applyBorder="1" applyAlignment="1">
      <alignment vertical="top"/>
    </xf>
    <xf numFmtId="0" fontId="9" fillId="0" borderId="12" xfId="2" applyFont="1" applyBorder="1" applyAlignment="1">
      <alignment horizontal="left" vertical="center"/>
    </xf>
    <xf numFmtId="168" fontId="9" fillId="0" borderId="12" xfId="2" applyNumberFormat="1" applyFont="1" applyBorder="1" applyAlignment="1">
      <alignment vertical="top"/>
    </xf>
    <xf numFmtId="0" fontId="9" fillId="0" borderId="13" xfId="2" applyFont="1" applyBorder="1" applyAlignment="1">
      <alignment horizontal="left" vertical="center"/>
    </xf>
    <xf numFmtId="0" fontId="8" fillId="0" borderId="4" xfId="0" applyFont="1" applyBorder="1"/>
    <xf numFmtId="0" fontId="8" fillId="0" borderId="7" xfId="0" applyFont="1" applyBorder="1"/>
    <xf numFmtId="164" fontId="8" fillId="0" borderId="0" xfId="1" applyNumberFormat="1" applyFont="1" applyBorder="1"/>
    <xf numFmtId="43" fontId="8" fillId="0" borderId="0" xfId="1" applyFont="1" applyBorder="1"/>
    <xf numFmtId="0" fontId="8" fillId="0" borderId="6" xfId="0" applyFont="1" applyBorder="1"/>
    <xf numFmtId="164" fontId="8" fillId="0" borderId="7" xfId="1" applyNumberFormat="1" applyFont="1" applyBorder="1"/>
    <xf numFmtId="0" fontId="7" fillId="0" borderId="2" xfId="0" applyFont="1" applyBorder="1" applyAlignment="1">
      <alignment horizontal="center"/>
    </xf>
    <xf numFmtId="166" fontId="14" fillId="2" borderId="15" xfId="3" applyNumberFormat="1" applyFont="1" applyFill="1" applyBorder="1">
      <alignment horizontal="center" vertical="center"/>
    </xf>
    <xf numFmtId="167" fontId="14" fillId="2" borderId="17" xfId="3" quotePrefix="1" applyNumberFormat="1" applyFont="1" applyFill="1" applyBorder="1">
      <alignment horizontal="center" vertical="center"/>
    </xf>
    <xf numFmtId="168" fontId="10" fillId="0" borderId="14" xfId="2" applyNumberFormat="1" applyFont="1" applyBorder="1" applyAlignment="1">
      <alignment wrapText="1"/>
    </xf>
    <xf numFmtId="169" fontId="4" fillId="0" borderId="18" xfId="2" applyNumberFormat="1" applyFont="1" applyBorder="1" applyAlignment="1">
      <alignment horizontal="right" vertical="center"/>
    </xf>
    <xf numFmtId="168" fontId="10" fillId="0" borderId="14" xfId="2" applyNumberFormat="1" applyFont="1" applyBorder="1"/>
    <xf numFmtId="165" fontId="18" fillId="3" borderId="14" xfId="3" applyFont="1" applyFill="1" applyBorder="1" applyAlignment="1">
      <alignment horizontal="left" vertical="center"/>
    </xf>
    <xf numFmtId="169" fontId="5" fillId="3" borderId="18" xfId="3" applyNumberFormat="1" applyFont="1" applyFill="1" applyBorder="1" applyAlignment="1">
      <alignment horizontal="right" vertical="center"/>
    </xf>
    <xf numFmtId="165" fontId="14" fillId="2" borderId="19" xfId="3" applyFont="1" applyFill="1" applyBorder="1" applyAlignment="1">
      <alignment vertical="center"/>
    </xf>
    <xf numFmtId="3" fontId="19" fillId="4" borderId="20" xfId="3" applyNumberFormat="1" applyFont="1" applyFill="1" applyBorder="1" applyAlignment="1">
      <alignment horizontal="right" vertical="center"/>
    </xf>
    <xf numFmtId="165" fontId="18" fillId="5" borderId="19" xfId="3" applyFont="1" applyFill="1" applyBorder="1" applyAlignment="1">
      <alignment horizontal="left" vertical="center"/>
    </xf>
    <xf numFmtId="37" fontId="5" fillId="5" borderId="20" xfId="3" applyNumberFormat="1" applyFont="1" applyFill="1" applyBorder="1" applyAlignment="1">
      <alignment horizontal="right" vertical="center"/>
    </xf>
    <xf numFmtId="43" fontId="8" fillId="0" borderId="7" xfId="1" applyFont="1" applyBorder="1"/>
    <xf numFmtId="0" fontId="8" fillId="0" borderId="3" xfId="0" applyFont="1" applyBorder="1"/>
    <xf numFmtId="0" fontId="8" fillId="0" borderId="21" xfId="0" applyFont="1" applyBorder="1"/>
    <xf numFmtId="0" fontId="8" fillId="0" borderId="1" xfId="0" applyFont="1" applyBorder="1"/>
    <xf numFmtId="43" fontId="8" fillId="0" borderId="5" xfId="1" applyFont="1" applyBorder="1"/>
    <xf numFmtId="43" fontId="8" fillId="0" borderId="8" xfId="1" applyFont="1" applyBorder="1"/>
    <xf numFmtId="0" fontId="7" fillId="0" borderId="0" xfId="0" applyFont="1" applyAlignment="1">
      <alignment horizontal="center"/>
    </xf>
    <xf numFmtId="43" fontId="8" fillId="0" borderId="0" xfId="0" applyNumberFormat="1" applyFont="1"/>
    <xf numFmtId="171" fontId="8" fillId="0" borderId="0" xfId="1" applyNumberFormat="1" applyFont="1" applyBorder="1"/>
    <xf numFmtId="164" fontId="8" fillId="0" borderId="5" xfId="0" applyNumberFormat="1" applyFont="1" applyBorder="1"/>
    <xf numFmtId="164" fontId="8" fillId="0" borderId="8" xfId="0" applyNumberFormat="1" applyFont="1" applyBorder="1"/>
    <xf numFmtId="0" fontId="8" fillId="0" borderId="22" xfId="0" applyFont="1" applyBorder="1"/>
    <xf numFmtId="164" fontId="8" fillId="0" borderId="22" xfId="1" applyNumberFormat="1" applyFont="1" applyBorder="1"/>
    <xf numFmtId="43" fontId="8" fillId="0" borderId="22" xfId="1" applyFont="1" applyBorder="1"/>
    <xf numFmtId="171" fontId="8" fillId="0" borderId="22" xfId="1" applyNumberFormat="1" applyFont="1" applyBorder="1"/>
    <xf numFmtId="0" fontId="8" fillId="0" borderId="24" xfId="0" applyFont="1" applyBorder="1"/>
    <xf numFmtId="164" fontId="8" fillId="0" borderId="24" xfId="1" applyNumberFormat="1" applyFont="1" applyBorder="1"/>
    <xf numFmtId="43" fontId="8" fillId="0" borderId="24" xfId="1" applyFont="1" applyBorder="1"/>
    <xf numFmtId="171" fontId="8" fillId="0" borderId="24" xfId="1" applyNumberFormat="1" applyFont="1" applyBorder="1"/>
    <xf numFmtId="164" fontId="8" fillId="0" borderId="25" xfId="0" applyNumberFormat="1" applyFont="1" applyBorder="1"/>
    <xf numFmtId="164" fontId="8" fillId="0" borderId="23" xfId="0" applyNumberFormat="1" applyFont="1" applyBorder="1"/>
    <xf numFmtId="43" fontId="8" fillId="0" borderId="23" xfId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168" fontId="9" fillId="7" borderId="12" xfId="2" applyNumberFormat="1" applyFont="1" applyFill="1" applyBorder="1" applyAlignment="1">
      <alignment vertical="top"/>
    </xf>
    <xf numFmtId="0" fontId="8" fillId="0" borderId="12" xfId="0" applyFont="1" applyBorder="1"/>
    <xf numFmtId="0" fontId="8" fillId="0" borderId="28" xfId="0" applyFont="1" applyBorder="1"/>
    <xf numFmtId="0" fontId="8" fillId="0" borderId="29" xfId="0" applyFont="1" applyBorder="1"/>
    <xf numFmtId="166" fontId="14" fillId="2" borderId="31" xfId="3" applyNumberFormat="1" applyFont="1" applyFill="1" applyBorder="1">
      <alignment horizontal="center" vertical="center"/>
    </xf>
    <xf numFmtId="165" fontId="18" fillId="3" borderId="26" xfId="3" applyFont="1" applyFill="1" applyBorder="1" applyAlignment="1">
      <alignment horizontal="left" vertical="center"/>
    </xf>
    <xf numFmtId="169" fontId="5" fillId="3" borderId="27" xfId="3" applyNumberFormat="1" applyFont="1" applyFill="1" applyBorder="1" applyAlignment="1">
      <alignment horizontal="right" vertical="center"/>
    </xf>
    <xf numFmtId="4" fontId="9" fillId="0" borderId="0" xfId="5" applyNumberFormat="1" applyFont="1" applyAlignment="1">
      <alignment vertical="center"/>
    </xf>
    <xf numFmtId="169" fontId="4" fillId="9" borderId="18" xfId="2" applyNumberFormat="1" applyFont="1" applyFill="1" applyBorder="1" applyAlignment="1">
      <alignment horizontal="right" vertical="center"/>
    </xf>
    <xf numFmtId="169" fontId="22" fillId="10" borderId="18" xfId="2" applyNumberFormat="1" applyFont="1" applyFill="1" applyBorder="1" applyAlignment="1">
      <alignment horizontal="right" vertical="center"/>
    </xf>
    <xf numFmtId="169" fontId="4" fillId="11" borderId="18" xfId="2" applyNumberFormat="1" applyFont="1" applyFill="1" applyBorder="1" applyAlignment="1">
      <alignment horizontal="right" vertical="center"/>
    </xf>
    <xf numFmtId="169" fontId="5" fillId="9" borderId="18" xfId="3" applyNumberFormat="1" applyFont="1" applyFill="1" applyBorder="1" applyAlignment="1">
      <alignment horizontal="right" vertical="center"/>
    </xf>
    <xf numFmtId="0" fontId="24" fillId="0" borderId="0" xfId="0" applyFont="1"/>
    <xf numFmtId="169" fontId="23" fillId="12" borderId="18" xfId="2" applyNumberFormat="1" applyFont="1" applyFill="1" applyBorder="1" applyAlignment="1">
      <alignment horizontal="right" vertical="center"/>
    </xf>
    <xf numFmtId="169" fontId="4" fillId="12" borderId="18" xfId="2" applyNumberFormat="1" applyFont="1" applyFill="1" applyBorder="1" applyAlignment="1">
      <alignment horizontal="right" vertical="center"/>
    </xf>
    <xf numFmtId="0" fontId="25" fillId="0" borderId="0" xfId="0" applyFont="1"/>
    <xf numFmtId="0" fontId="26" fillId="0" borderId="0" xfId="2" applyFont="1" applyAlignment="1">
      <alignment horizontal="center" vertical="center"/>
    </xf>
    <xf numFmtId="0" fontId="0" fillId="9" borderId="0" xfId="0" applyFill="1"/>
    <xf numFmtId="168" fontId="27" fillId="0" borderId="0" xfId="2" applyNumberFormat="1" applyFont="1" applyAlignment="1">
      <alignment vertical="top"/>
    </xf>
    <xf numFmtId="0" fontId="28" fillId="0" borderId="12" xfId="2" applyFont="1" applyBorder="1" applyAlignment="1">
      <alignment horizontal="left" vertical="center"/>
    </xf>
    <xf numFmtId="4" fontId="0" fillId="0" borderId="0" xfId="0" applyNumberFormat="1"/>
    <xf numFmtId="4" fontId="0" fillId="9" borderId="0" xfId="0" applyNumberFormat="1" applyFill="1"/>
    <xf numFmtId="0" fontId="8" fillId="13" borderId="0" xfId="0" applyFont="1" applyFill="1"/>
    <xf numFmtId="174" fontId="8" fillId="0" borderId="0" xfId="0" applyNumberFormat="1" applyFont="1"/>
    <xf numFmtId="175" fontId="8" fillId="0" borderId="22" xfId="0" applyNumberFormat="1" applyFont="1" applyBorder="1"/>
    <xf numFmtId="169" fontId="22" fillId="0" borderId="18" xfId="2" applyNumberFormat="1" applyFont="1" applyBorder="1" applyAlignment="1">
      <alignment horizontal="right" vertical="center"/>
    </xf>
    <xf numFmtId="0" fontId="29" fillId="0" borderId="0" xfId="0" applyFont="1"/>
    <xf numFmtId="169" fontId="30" fillId="3" borderId="18" xfId="3" applyNumberFormat="1" applyFont="1" applyFill="1" applyBorder="1" applyAlignment="1">
      <alignment horizontal="right" vertical="center"/>
    </xf>
    <xf numFmtId="0" fontId="31" fillId="14" borderId="0" xfId="0" applyFont="1" applyFill="1"/>
    <xf numFmtId="176" fontId="0" fillId="0" borderId="0" xfId="0" applyNumberFormat="1"/>
    <xf numFmtId="177" fontId="0" fillId="0" borderId="0" xfId="0" applyNumberFormat="1"/>
    <xf numFmtId="43" fontId="0" fillId="0" borderId="0" xfId="1" applyFont="1"/>
    <xf numFmtId="169" fontId="0" fillId="0" borderId="0" xfId="0" applyNumberFormat="1"/>
    <xf numFmtId="169" fontId="23" fillId="0" borderId="18" xfId="2" applyNumberFormat="1" applyFont="1" applyBorder="1" applyAlignment="1">
      <alignment horizontal="right" vertical="center"/>
    </xf>
    <xf numFmtId="4" fontId="29" fillId="0" borderId="0" xfId="0" applyNumberFormat="1" applyFont="1"/>
    <xf numFmtId="169" fontId="32" fillId="0" borderId="18" xfId="2" applyNumberFormat="1" applyFont="1" applyBorder="1" applyAlignment="1">
      <alignment horizontal="right" vertical="center"/>
    </xf>
    <xf numFmtId="0" fontId="0" fillId="14" borderId="32" xfId="0" applyFill="1" applyBorder="1" applyAlignment="1">
      <alignment horizontal="center" vertical="center"/>
    </xf>
    <xf numFmtId="0" fontId="0" fillId="16" borderId="32" xfId="0" applyFill="1" applyBorder="1" applyAlignment="1">
      <alignment horizontal="center" vertical="center"/>
    </xf>
    <xf numFmtId="43" fontId="0" fillId="16" borderId="3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178" fontId="0" fillId="0" borderId="0" xfId="1" applyNumberFormat="1" applyFont="1" applyAlignment="1">
      <alignment horizontal="center" vertical="center"/>
    </xf>
    <xf numFmtId="0" fontId="0" fillId="18" borderId="0" xfId="0" applyFill="1" applyAlignment="1">
      <alignment horizontal="left" vertical="center"/>
    </xf>
    <xf numFmtId="178" fontId="0" fillId="18" borderId="0" xfId="1" applyNumberFormat="1" applyFont="1" applyFill="1" applyAlignment="1">
      <alignment horizontal="center" vertical="center"/>
    </xf>
    <xf numFmtId="178" fontId="1" fillId="0" borderId="0" xfId="1" applyNumberFormat="1" applyFont="1" applyAlignment="1">
      <alignment horizontal="center" vertical="center"/>
    </xf>
    <xf numFmtId="0" fontId="0" fillId="18" borderId="0" xfId="0" applyFill="1" applyAlignment="1">
      <alignment horizontal="center" vertical="center"/>
    </xf>
    <xf numFmtId="178" fontId="0" fillId="0" borderId="0" xfId="1" applyNumberFormat="1" applyFont="1"/>
    <xf numFmtId="0" fontId="0" fillId="18" borderId="0" xfId="0" applyFill="1"/>
    <xf numFmtId="178" fontId="0" fillId="18" borderId="0" xfId="1" applyNumberFormat="1" applyFont="1" applyFill="1"/>
    <xf numFmtId="178" fontId="1" fillId="0" borderId="0" xfId="1" applyNumberFormat="1" applyFont="1"/>
    <xf numFmtId="0" fontId="0" fillId="14" borderId="0" xfId="0" applyFill="1"/>
    <xf numFmtId="178" fontId="0" fillId="0" borderId="0" xfId="0" applyNumberFormat="1"/>
    <xf numFmtId="0" fontId="0" fillId="15" borderId="0" xfId="0" applyFill="1"/>
    <xf numFmtId="0" fontId="0" fillId="19" borderId="0" xfId="0" applyFill="1"/>
    <xf numFmtId="0" fontId="0" fillId="0" borderId="0" xfId="0" applyAlignment="1">
      <alignment vertical="center"/>
    </xf>
    <xf numFmtId="43" fontId="0" fillId="0" borderId="0" xfId="1" applyFont="1" applyFill="1" applyBorder="1" applyAlignment="1">
      <alignment horizontal="center" vertical="center"/>
    </xf>
    <xf numFmtId="43" fontId="0" fillId="0" borderId="0" xfId="0" applyNumberFormat="1"/>
    <xf numFmtId="174" fontId="0" fillId="0" borderId="0" xfId="0" applyNumberFormat="1"/>
    <xf numFmtId="0" fontId="0" fillId="0" borderId="0" xfId="0" applyAlignment="1">
      <alignment horizontal="center"/>
    </xf>
    <xf numFmtId="174" fontId="0" fillId="0" borderId="0" xfId="0" applyNumberFormat="1" applyAlignment="1">
      <alignment horizontal="center"/>
    </xf>
    <xf numFmtId="179" fontId="0" fillId="0" borderId="0" xfId="1" applyNumberFormat="1" applyFont="1" applyAlignment="1">
      <alignment horizontal="center"/>
    </xf>
    <xf numFmtId="165" fontId="13" fillId="2" borderId="14" xfId="3" applyFont="1" applyFill="1" applyBorder="1">
      <alignment horizontal="center" vertical="center"/>
    </xf>
    <xf numFmtId="165" fontId="13" fillId="2" borderId="16" xfId="3" applyFont="1" applyFill="1" applyBorder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165" fontId="13" fillId="2" borderId="30" xfId="3" applyFont="1" applyFill="1" applyBorder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32" xfId="0" applyFill="1" applyBorder="1" applyAlignment="1">
      <alignment horizontal="center" vertical="center"/>
    </xf>
  </cellXfs>
  <cellStyles count="19">
    <cellStyle name="Euro" xfId="16" xr:uid="{6609C029-AE67-4DF2-BB38-0E304B6F97A8}"/>
    <cellStyle name="Migliaia" xfId="1" builtinId="3"/>
    <cellStyle name="Migliaia [0] 2" xfId="6" xr:uid="{95C4D2BC-A4C8-490C-912A-7FBC4C2322BE}"/>
    <cellStyle name="Migliaia 2" xfId="10" xr:uid="{6CD6AD8B-DB97-49A3-B3C9-9F8D76C3B99C}"/>
    <cellStyle name="Migliaia 3" xfId="14" xr:uid="{8BB6F74A-8455-4BB1-8613-206277723AE4}"/>
    <cellStyle name="Migliaia 4" xfId="18" xr:uid="{9763F339-1146-41FA-9DD3-D3A9472CD4F3}"/>
    <cellStyle name="Normale" xfId="0" builtinId="0"/>
    <cellStyle name="Normale 2" xfId="8" xr:uid="{D0B34A7B-8A2A-49D8-80B1-816F9084430F}"/>
    <cellStyle name="Normale 2 2" xfId="9" xr:uid="{9376ED4C-04E8-402E-9709-EC5DCFDD75AC}"/>
    <cellStyle name="Normale 2 2 2" xfId="2" xr:uid="{8B42F8C5-55CE-4399-9D39-F995602C4690}"/>
    <cellStyle name="Normale 6" xfId="13" xr:uid="{0F3DB458-4FA2-436D-8318-54D193EC2AB6}"/>
    <cellStyle name="Normale_Produzione Filago" xfId="5" xr:uid="{60F75EEC-8836-453F-A238-DEA7A32A3911}"/>
    <cellStyle name="nuovo" xfId="3" xr:uid="{2B763CCD-7B65-4463-AC3F-C6A85F711434}"/>
    <cellStyle name="Percentuale 2" xfId="12" xr:uid="{20842976-9456-45EE-86AC-66C0BC74CAB2}"/>
    <cellStyle name="Percentuale 2 2" xfId="4" xr:uid="{4AF01C63-C0FA-4F1D-BE19-6BA824121375}"/>
    <cellStyle name="Percentuale 3" xfId="7" xr:uid="{3A25206B-2ECE-4CB7-BBC5-F7E9292D97C7}"/>
    <cellStyle name="Percentuale 5" xfId="11" xr:uid="{9CA86D42-3A4B-49CD-8ADC-8066A7AA5387}"/>
    <cellStyle name="Percentuale 5 2" xfId="17" xr:uid="{D830284A-9B86-4C7F-9C3F-379798303DD9}"/>
    <cellStyle name="Valuta [0] 2 2" xfId="15" xr:uid="{951E2A6D-111F-48A9-8677-F9C48FDBF6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race\SynologyDrive\UniBG\01.Dati%20per%20progetto\vendite%20FAR%202021_23.11.11.xlsx" TargetMode="External"/><Relationship Id="rId1" Type="http://schemas.openxmlformats.org/officeDocument/2006/relationships/externalLinkPath" Target="/Users/Surace/SynologyDrive/UniBG/2023/01.Lectures/99.OLD/vendite%20FAR%202021_23.11.1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kyv\Desktop\Progetto_sdg_1.xlsx" TargetMode="External"/><Relationship Id="rId1" Type="http://schemas.openxmlformats.org/officeDocument/2006/relationships/externalLinkPath" Target="/Users/Mikyv/Desktop/Progetto_sdg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glio1"/>
    </sheetNames>
    <sheetDataSet>
      <sheetData sheetId="0">
        <row r="2">
          <cell r="U2">
            <v>10</v>
          </cell>
          <cell r="V2">
            <v>7</v>
          </cell>
        </row>
        <row r="3">
          <cell r="U3">
            <v>2.8454343054568869</v>
          </cell>
          <cell r="V3">
            <v>1.9918040138198205</v>
          </cell>
        </row>
        <row r="4">
          <cell r="U4">
            <v>2.394191982210288</v>
          </cell>
          <cell r="V4">
            <v>1.6759343875472015</v>
          </cell>
        </row>
        <row r="5">
          <cell r="U5">
            <v>1.6259024091283505</v>
          </cell>
          <cell r="V5">
            <v>1.1381316863898452</v>
          </cell>
        </row>
        <row r="6">
          <cell r="U6">
            <v>7.2999999999999989</v>
          </cell>
          <cell r="V6">
            <v>5.1099999999999985</v>
          </cell>
        </row>
        <row r="7">
          <cell r="U7">
            <v>1.407538523574988</v>
          </cell>
          <cell r="V7">
            <v>0.98527696650249152</v>
          </cell>
        </row>
        <row r="8">
          <cell r="U8">
            <v>2.9</v>
          </cell>
          <cell r="V8">
            <v>2.0299999999999998</v>
          </cell>
        </row>
        <row r="9">
          <cell r="U9">
            <v>2.069991076133928</v>
          </cell>
          <cell r="V9">
            <v>1.4489937532937498</v>
          </cell>
        </row>
        <row r="10">
          <cell r="U10">
            <v>2.5294423532749355</v>
          </cell>
          <cell r="V10">
            <v>1.7706096472924546</v>
          </cell>
        </row>
        <row r="11">
          <cell r="U11">
            <v>2.3872630549463576</v>
          </cell>
          <cell r="V11">
            <v>1.6710841384624504</v>
          </cell>
        </row>
        <row r="12">
          <cell r="U12">
            <v>1.4000000000000004</v>
          </cell>
          <cell r="V12">
            <v>0.98000000000000009</v>
          </cell>
        </row>
        <row r="13">
          <cell r="U13">
            <v>1.88</v>
          </cell>
          <cell r="V13">
            <v>1.3159999999999998</v>
          </cell>
        </row>
        <row r="14">
          <cell r="U14">
            <v>1.1300000000000001</v>
          </cell>
          <cell r="V14">
            <v>0.79100000000000004</v>
          </cell>
        </row>
        <row r="15">
          <cell r="U15">
            <v>3.6564488552004386</v>
          </cell>
          <cell r="V15">
            <v>2.5595141986403069</v>
          </cell>
        </row>
        <row r="16">
          <cell r="U16">
            <v>0.29851713713549144</v>
          </cell>
          <cell r="V16">
            <v>0.208961995994844</v>
          </cell>
        </row>
        <row r="17">
          <cell r="U17">
            <v>1.3214682559652613</v>
          </cell>
          <cell r="V17">
            <v>0.92502777917568291</v>
          </cell>
        </row>
        <row r="18">
          <cell r="U18">
            <v>0.20188006306692874</v>
          </cell>
          <cell r="V18">
            <v>0.14131604414685014</v>
          </cell>
        </row>
        <row r="19">
          <cell r="U19">
            <v>3.4812737374826175</v>
          </cell>
          <cell r="V19">
            <v>2.436891616237832</v>
          </cell>
        </row>
        <row r="20">
          <cell r="U20">
            <v>5.1675675675675672</v>
          </cell>
          <cell r="V20">
            <v>3.6172972972972968</v>
          </cell>
        </row>
        <row r="21">
          <cell r="U21">
            <v>0.45000000000000007</v>
          </cell>
          <cell r="V21">
            <v>0.315</v>
          </cell>
        </row>
        <row r="22">
          <cell r="U22">
            <v>4.4926663923229482</v>
          </cell>
          <cell r="V22">
            <v>3.1448664746260633</v>
          </cell>
        </row>
        <row r="23">
          <cell r="U23">
            <v>6.6300000000000008</v>
          </cell>
          <cell r="V23">
            <v>4.641</v>
          </cell>
        </row>
        <row r="24">
          <cell r="U24">
            <v>3</v>
          </cell>
          <cell r="V24">
            <v>2.0999999999999996</v>
          </cell>
        </row>
        <row r="25">
          <cell r="U25">
            <v>12.982910321489001</v>
          </cell>
          <cell r="V25">
            <v>9.0880372250423012</v>
          </cell>
        </row>
        <row r="26">
          <cell r="U26">
            <v>7.7960603855361868E-2</v>
          </cell>
          <cell r="V26">
            <v>0.38787648456780016</v>
          </cell>
        </row>
        <row r="27">
          <cell r="U27">
            <v>0.67441660867548137</v>
          </cell>
          <cell r="V27">
            <v>0.48366639526791927</v>
          </cell>
        </row>
        <row r="28">
          <cell r="U28">
            <v>1.5633914368373318</v>
          </cell>
          <cell r="V28">
            <v>0.97575993522615323</v>
          </cell>
        </row>
        <row r="29">
          <cell r="U29">
            <v>1.6736903475641822</v>
          </cell>
          <cell r="V29">
            <v>1.3705060945642298</v>
          </cell>
        </row>
        <row r="30">
          <cell r="U30">
            <v>0.1</v>
          </cell>
          <cell r="V30">
            <v>0</v>
          </cell>
        </row>
        <row r="31">
          <cell r="U31">
            <v>0.95151747373984275</v>
          </cell>
          <cell r="V31">
            <v>0</v>
          </cell>
        </row>
        <row r="32">
          <cell r="U32">
            <v>2.0941639085164221</v>
          </cell>
        </row>
        <row r="33">
          <cell r="U33">
            <v>2.2182920110192836</v>
          </cell>
          <cell r="V33">
            <v>1.5527802479338846</v>
          </cell>
        </row>
        <row r="34">
          <cell r="U34">
            <v>2.1110997372569629</v>
          </cell>
          <cell r="V34">
            <v>1.5542673597477665</v>
          </cell>
        </row>
        <row r="35">
          <cell r="U35">
            <v>2.1683789936275497</v>
          </cell>
        </row>
        <row r="36">
          <cell r="U36">
            <v>2.4447673031026254</v>
          </cell>
          <cell r="V36">
            <v>1.6734552903739062</v>
          </cell>
        </row>
        <row r="37">
          <cell r="U37">
            <v>2.1755305430745655</v>
          </cell>
        </row>
        <row r="38">
          <cell r="U38">
            <v>0.72040658436213989</v>
          </cell>
          <cell r="V38">
            <v>0.54555471354446228</v>
          </cell>
        </row>
        <row r="39">
          <cell r="U39">
            <v>1.2394066091686382</v>
          </cell>
          <cell r="V39">
            <v>0.91844443287446687</v>
          </cell>
        </row>
        <row r="40">
          <cell r="U40">
            <v>1.3500108906011263</v>
          </cell>
        </row>
        <row r="41">
          <cell r="U41">
            <v>1.1953137569283963</v>
          </cell>
          <cell r="V41">
            <v>0.89400994847456083</v>
          </cell>
        </row>
        <row r="42">
          <cell r="U42">
            <v>1.0664157465717947</v>
          </cell>
          <cell r="V42">
            <v>0.78402539985278485</v>
          </cell>
        </row>
        <row r="43">
          <cell r="U43">
            <v>1.0917239485733838</v>
          </cell>
          <cell r="V43">
            <v>0.85086392559761459</v>
          </cell>
        </row>
        <row r="44">
          <cell r="U44">
            <v>1.5032278016563581</v>
          </cell>
          <cell r="V44">
            <v>0.80808670859978349</v>
          </cell>
        </row>
        <row r="45">
          <cell r="U45">
            <v>0.81786394557823128</v>
          </cell>
          <cell r="V45">
            <v>0.51070224489795923</v>
          </cell>
        </row>
        <row r="46">
          <cell r="U46">
            <v>1.2292548613611811</v>
          </cell>
          <cell r="V46">
            <v>0.92105041861721271</v>
          </cell>
        </row>
        <row r="47">
          <cell r="U47">
            <v>1.3103522012578614</v>
          </cell>
          <cell r="V47">
            <v>0.99331303459119502</v>
          </cell>
        </row>
        <row r="48">
          <cell r="U48">
            <v>1.3809778209486805</v>
          </cell>
          <cell r="V48">
            <v>1.0851020123037074</v>
          </cell>
        </row>
        <row r="49">
          <cell r="U49">
            <v>0.7641895591554374</v>
          </cell>
          <cell r="V49">
            <v>0.53960530242123961</v>
          </cell>
        </row>
        <row r="50">
          <cell r="U50">
            <v>1.2</v>
          </cell>
          <cell r="V50">
            <v>0.87636999999999987</v>
          </cell>
        </row>
        <row r="51">
          <cell r="U51">
            <v>1.29</v>
          </cell>
          <cell r="V51">
            <v>0.93520499999999995</v>
          </cell>
        </row>
        <row r="52">
          <cell r="U52">
            <v>1.003604926690739</v>
          </cell>
          <cell r="V52">
            <v>0.76742587476388102</v>
          </cell>
        </row>
        <row r="53">
          <cell r="U53">
            <v>1.1262508272667109</v>
          </cell>
          <cell r="V53">
            <v>0.7731818067504963</v>
          </cell>
        </row>
        <row r="54">
          <cell r="U54">
            <v>1.1679999999999999</v>
          </cell>
          <cell r="V54">
            <v>0.79481080000000004</v>
          </cell>
        </row>
        <row r="55">
          <cell r="U55">
            <v>0.66185661102437854</v>
          </cell>
          <cell r="V55">
            <v>0.41639553380569233</v>
          </cell>
        </row>
        <row r="56">
          <cell r="U56">
            <v>1.5481564896611979</v>
          </cell>
          <cell r="V56">
            <v>0</v>
          </cell>
        </row>
        <row r="57">
          <cell r="U57">
            <v>1.0145297661595016</v>
          </cell>
          <cell r="V57">
            <v>1.3210750056162566</v>
          </cell>
        </row>
        <row r="58">
          <cell r="U58">
            <v>1.5966125451519446</v>
          </cell>
          <cell r="V58">
            <v>1.2557294418418297</v>
          </cell>
        </row>
        <row r="59">
          <cell r="U59">
            <v>1.1722768518267583</v>
          </cell>
          <cell r="V59">
            <v>1.178349802915466</v>
          </cell>
        </row>
        <row r="60">
          <cell r="U60">
            <v>1.3571836380718363</v>
          </cell>
          <cell r="V60">
            <v>1.0956717511021177</v>
          </cell>
        </row>
        <row r="61">
          <cell r="U61">
            <v>1.6094114465975666</v>
          </cell>
          <cell r="V61">
            <v>1.2580483884632718</v>
          </cell>
        </row>
        <row r="62">
          <cell r="U62">
            <v>1.7370298635106558</v>
          </cell>
          <cell r="V62">
            <v>1.2449452498939109</v>
          </cell>
        </row>
        <row r="63">
          <cell r="U63">
            <v>1.6806898864347668</v>
          </cell>
          <cell r="V63">
            <v>1.175671438641986</v>
          </cell>
        </row>
        <row r="64">
          <cell r="U64">
            <v>1.0545722952001755</v>
          </cell>
          <cell r="V64">
            <v>0.8007143704737123</v>
          </cell>
        </row>
        <row r="65">
          <cell r="U65">
            <v>1.0427329563480954</v>
          </cell>
          <cell r="V65">
            <v>0.71860723513054503</v>
          </cell>
        </row>
        <row r="66">
          <cell r="U66">
            <v>1.9287213205204836</v>
          </cell>
          <cell r="V66">
            <v>1.2761377805876131</v>
          </cell>
        </row>
        <row r="67">
          <cell r="U67">
            <v>1.9086574648277184</v>
          </cell>
          <cell r="V67">
            <v>1.3634690975242332</v>
          </cell>
        </row>
        <row r="68">
          <cell r="U68">
            <v>1.4443107909945656</v>
          </cell>
          <cell r="V68">
            <v>1.0710016958509445</v>
          </cell>
        </row>
        <row r="69">
          <cell r="U69">
            <v>1.9315133240974656</v>
          </cell>
          <cell r="V69">
            <v>1.3418995368483959</v>
          </cell>
        </row>
        <row r="70">
          <cell r="U70">
            <v>1.5090489190950254</v>
          </cell>
          <cell r="V70">
            <v>1.0507351288755455</v>
          </cell>
        </row>
        <row r="71">
          <cell r="U71">
            <v>1.5367824521112794</v>
          </cell>
          <cell r="V71">
            <v>1.1575221321572104</v>
          </cell>
        </row>
        <row r="72">
          <cell r="U72">
            <v>1.7941255297930692</v>
          </cell>
          <cell r="V72">
            <v>1.2804120481176764</v>
          </cell>
        </row>
        <row r="73">
          <cell r="U73">
            <v>0.60202058079706988</v>
          </cell>
          <cell r="V73">
            <v>0.3732310299119212</v>
          </cell>
        </row>
        <row r="74">
          <cell r="U74">
            <v>0.63365096811948207</v>
          </cell>
          <cell r="V74">
            <v>1.2438429369259345</v>
          </cell>
        </row>
        <row r="76">
          <cell r="U76">
            <v>697.35714285714289</v>
          </cell>
          <cell r="V76">
            <v>0</v>
          </cell>
        </row>
        <row r="77">
          <cell r="U77">
            <v>19834.952666666664</v>
          </cell>
          <cell r="V77">
            <v>0</v>
          </cell>
        </row>
        <row r="78">
          <cell r="U78">
            <v>7.155483831924637</v>
          </cell>
          <cell r="V7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 21-22"/>
      <sheetName val="Ricavi"/>
      <sheetName val="RicaviBudget"/>
      <sheetName val="VariableCosts"/>
      <sheetName val="VariableCostsBudget"/>
      <sheetName val="FixedCosts"/>
      <sheetName val="FixedCostsBudget"/>
      <sheetName val="Others"/>
      <sheetName val="OthersBudget"/>
      <sheetName val="CE Budget 2022"/>
      <sheetName val="Analisi degli scostamenti"/>
    </sheetNames>
    <sheetDataSet>
      <sheetData sheetId="0" refreshError="1"/>
      <sheetData sheetId="1">
        <row r="2">
          <cell r="B2" t="str">
            <v>Consuntivo 2022</v>
          </cell>
        </row>
        <row r="3">
          <cell r="B3" t="str">
            <v>Articolo</v>
          </cell>
          <cell r="E3" t="str">
            <v>P medio (€/kg)</v>
          </cell>
        </row>
        <row r="4">
          <cell r="B4" t="str">
            <v>MP1</v>
          </cell>
          <cell r="E4">
            <v>10</v>
          </cell>
        </row>
        <row r="5">
          <cell r="B5" t="str">
            <v>MP2</v>
          </cell>
          <cell r="E5">
            <v>2.8454343054568869</v>
          </cell>
        </row>
        <row r="6">
          <cell r="B6" t="str">
            <v>MP3</v>
          </cell>
          <cell r="E6">
            <v>2.394191982210288</v>
          </cell>
        </row>
        <row r="7">
          <cell r="B7" t="str">
            <v>MP4</v>
          </cell>
          <cell r="E7">
            <v>1.6259024091283505</v>
          </cell>
        </row>
        <row r="8">
          <cell r="B8" t="str">
            <v>MP5</v>
          </cell>
          <cell r="E8">
            <v>7.2999999999999989</v>
          </cell>
        </row>
        <row r="9">
          <cell r="B9" t="str">
            <v>MP6</v>
          </cell>
          <cell r="E9">
            <v>1.407538523574988</v>
          </cell>
        </row>
        <row r="10">
          <cell r="B10" t="str">
            <v>MP7</v>
          </cell>
          <cell r="E10">
            <v>2.9</v>
          </cell>
        </row>
        <row r="11">
          <cell r="B11" t="str">
            <v>MP8</v>
          </cell>
          <cell r="E11">
            <v>2.069991076133928</v>
          </cell>
        </row>
        <row r="12">
          <cell r="B12" t="str">
            <v>MP9</v>
          </cell>
          <cell r="E12">
            <v>2.5294423532749355</v>
          </cell>
        </row>
        <row r="13">
          <cell r="B13" t="str">
            <v>MP10</v>
          </cell>
          <cell r="E13">
            <v>2.3872630549463576</v>
          </cell>
        </row>
        <row r="14">
          <cell r="B14" t="str">
            <v>MP11</v>
          </cell>
          <cell r="E14">
            <v>1.4000000000000004</v>
          </cell>
        </row>
        <row r="15">
          <cell r="B15" t="str">
            <v>MP12</v>
          </cell>
          <cell r="E15">
            <v>1.88</v>
          </cell>
        </row>
        <row r="16">
          <cell r="B16" t="str">
            <v>MP13</v>
          </cell>
          <cell r="E16">
            <v>1.1300000000000001</v>
          </cell>
        </row>
        <row r="17">
          <cell r="B17" t="str">
            <v>MP14</v>
          </cell>
          <cell r="E17">
            <v>3.6564488552004386</v>
          </cell>
        </row>
        <row r="18">
          <cell r="B18" t="str">
            <v>MP15</v>
          </cell>
          <cell r="E18">
            <v>0.29851713713549144</v>
          </cell>
        </row>
        <row r="19">
          <cell r="B19" t="str">
            <v>MP16</v>
          </cell>
          <cell r="E19">
            <v>1.3214682559652613</v>
          </cell>
        </row>
        <row r="20">
          <cell r="B20" t="str">
            <v>MP17</v>
          </cell>
          <cell r="E20">
            <v>0.20188006306692874</v>
          </cell>
        </row>
        <row r="21">
          <cell r="B21" t="str">
            <v>MP18</v>
          </cell>
          <cell r="E21">
            <v>3.4812737374826175</v>
          </cell>
        </row>
        <row r="22">
          <cell r="B22" t="str">
            <v>MP19</v>
          </cell>
          <cell r="E22">
            <v>5.1675675675675672</v>
          </cell>
        </row>
        <row r="23">
          <cell r="B23" t="str">
            <v>MP20</v>
          </cell>
          <cell r="E23">
            <v>0.45000000000000007</v>
          </cell>
        </row>
        <row r="24">
          <cell r="B24" t="str">
            <v>MP21</v>
          </cell>
          <cell r="E24">
            <v>4.4926663923229482</v>
          </cell>
        </row>
        <row r="25">
          <cell r="B25" t="str">
            <v>MP22</v>
          </cell>
          <cell r="E25">
            <v>6.6300000000000008</v>
          </cell>
        </row>
        <row r="26">
          <cell r="B26" t="str">
            <v>MP23</v>
          </cell>
          <cell r="E26">
            <v>3</v>
          </cell>
        </row>
        <row r="27">
          <cell r="B27" t="str">
            <v>MP24</v>
          </cell>
          <cell r="E27">
            <v>12.982910321489001</v>
          </cell>
        </row>
        <row r="28">
          <cell r="B28" t="str">
            <v>PCL1</v>
          </cell>
          <cell r="E28">
            <v>7.7960603855361868E-2</v>
          </cell>
        </row>
        <row r="29">
          <cell r="B29" t="str">
            <v>PCL2</v>
          </cell>
          <cell r="E29">
            <v>0.67441660867548137</v>
          </cell>
        </row>
        <row r="30">
          <cell r="B30" t="str">
            <v>PCL3</v>
          </cell>
          <cell r="E30">
            <v>1.5633914368373318</v>
          </cell>
        </row>
        <row r="31">
          <cell r="B31" t="str">
            <v>PCL4</v>
          </cell>
          <cell r="E31">
            <v>1.6736903475641822</v>
          </cell>
        </row>
        <row r="32">
          <cell r="B32" t="str">
            <v>PCL5</v>
          </cell>
          <cell r="E32">
            <v>0.1</v>
          </cell>
        </row>
        <row r="33">
          <cell r="B33" t="str">
            <v>PF P1</v>
          </cell>
          <cell r="E33">
            <v>0.95151747373984275</v>
          </cell>
        </row>
        <row r="34">
          <cell r="B34" t="str">
            <v>PF P2</v>
          </cell>
          <cell r="E34">
            <v>2.0941639085164221</v>
          </cell>
        </row>
        <row r="35">
          <cell r="B35" t="str">
            <v>PF P3</v>
          </cell>
          <cell r="E35">
            <v>2.2182920110192836</v>
          </cell>
        </row>
        <row r="36">
          <cell r="B36" t="str">
            <v>PF P4</v>
          </cell>
          <cell r="E36">
            <v>2.1110997372569629</v>
          </cell>
        </row>
        <row r="37">
          <cell r="B37" t="str">
            <v>PF P5</v>
          </cell>
          <cell r="E37">
            <v>2.1683789936275497</v>
          </cell>
        </row>
        <row r="38">
          <cell r="B38" t="str">
            <v>PF P6</v>
          </cell>
          <cell r="E38">
            <v>2.4447673031026254</v>
          </cell>
        </row>
        <row r="39">
          <cell r="B39" t="str">
            <v>PF P7</v>
          </cell>
          <cell r="E39">
            <v>2.1755305430745655</v>
          </cell>
        </row>
        <row r="40">
          <cell r="B40" t="str">
            <v>PF P8</v>
          </cell>
          <cell r="E40">
            <v>0.72040658436213989</v>
          </cell>
        </row>
        <row r="41">
          <cell r="B41" t="str">
            <v>PF V1</v>
          </cell>
          <cell r="E41">
            <v>1.2394066091686382</v>
          </cell>
        </row>
        <row r="42">
          <cell r="B42" t="str">
            <v>PF V2</v>
          </cell>
          <cell r="E42">
            <v>1.3500108906011263</v>
          </cell>
        </row>
        <row r="43">
          <cell r="B43" t="str">
            <v>PF V3</v>
          </cell>
          <cell r="E43">
            <v>1.1953137569283963</v>
          </cell>
        </row>
        <row r="44">
          <cell r="B44" t="str">
            <v>PF V4</v>
          </cell>
          <cell r="E44">
            <v>1.0664157465717947</v>
          </cell>
        </row>
        <row r="45">
          <cell r="B45" t="str">
            <v>PF V5</v>
          </cell>
          <cell r="E45">
            <v>1.0917239485733838</v>
          </cell>
        </row>
        <row r="46">
          <cell r="B46" t="str">
            <v>PF V6</v>
          </cell>
          <cell r="E46">
            <v>1.5032278016563581</v>
          </cell>
        </row>
        <row r="47">
          <cell r="B47" t="str">
            <v>PF V7</v>
          </cell>
          <cell r="E47">
            <v>0.81786394557823128</v>
          </cell>
        </row>
        <row r="48">
          <cell r="B48" t="str">
            <v>PF V8</v>
          </cell>
          <cell r="E48">
            <v>1.2292548613611811</v>
          </cell>
        </row>
        <row r="49">
          <cell r="B49" t="str">
            <v>PF V9</v>
          </cell>
          <cell r="E49">
            <v>1.3103522012578614</v>
          </cell>
        </row>
        <row r="50">
          <cell r="B50" t="str">
            <v>PF V10</v>
          </cell>
          <cell r="E50">
            <v>1.3809778209486805</v>
          </cell>
        </row>
        <row r="51">
          <cell r="B51" t="str">
            <v>PF V11</v>
          </cell>
          <cell r="E51">
            <v>0.7641895591554374</v>
          </cell>
        </row>
        <row r="52">
          <cell r="B52" t="str">
            <v>PF V12</v>
          </cell>
          <cell r="E52">
            <v>1.2</v>
          </cell>
        </row>
        <row r="53">
          <cell r="B53" t="str">
            <v>PF V13</v>
          </cell>
          <cell r="E53">
            <v>1.29</v>
          </cell>
        </row>
        <row r="54">
          <cell r="B54" t="str">
            <v>PF V14</v>
          </cell>
          <cell r="E54">
            <v>1.003604926690739</v>
          </cell>
        </row>
        <row r="55">
          <cell r="B55" t="str">
            <v>PF V15</v>
          </cell>
          <cell r="E55">
            <v>1.1262508272667109</v>
          </cell>
        </row>
        <row r="56">
          <cell r="B56" t="str">
            <v>PF V16</v>
          </cell>
          <cell r="E56">
            <v>1.1679999999999999</v>
          </cell>
        </row>
        <row r="57">
          <cell r="B57" t="str">
            <v>PF V17</v>
          </cell>
          <cell r="E57">
            <v>0.66185661102437854</v>
          </cell>
        </row>
        <row r="58">
          <cell r="B58" t="str">
            <v>PF A1</v>
          </cell>
          <cell r="E58">
            <v>1.5481564896611979</v>
          </cell>
        </row>
        <row r="59">
          <cell r="B59" t="str">
            <v>PF A2</v>
          </cell>
          <cell r="E59">
            <v>1.0145297661595016</v>
          </cell>
        </row>
        <row r="60">
          <cell r="B60" t="str">
            <v>PF A3</v>
          </cell>
          <cell r="E60">
            <v>1.5966125451519446</v>
          </cell>
        </row>
        <row r="61">
          <cell r="B61" t="str">
            <v>PF A4</v>
          </cell>
          <cell r="E61">
            <v>1.1722768518267583</v>
          </cell>
        </row>
        <row r="62">
          <cell r="B62" t="str">
            <v>PF A5</v>
          </cell>
          <cell r="E62">
            <v>1.3571836380718363</v>
          </cell>
        </row>
        <row r="63">
          <cell r="B63" t="str">
            <v>PF A6</v>
          </cell>
          <cell r="E63">
            <v>1.6094114465975666</v>
          </cell>
        </row>
        <row r="64">
          <cell r="B64" t="str">
            <v>PF A7</v>
          </cell>
          <cell r="E64">
            <v>1.7370298635106558</v>
          </cell>
        </row>
        <row r="65">
          <cell r="B65" t="str">
            <v>PF A8</v>
          </cell>
          <cell r="E65">
            <v>1.6806898864347668</v>
          </cell>
        </row>
        <row r="66">
          <cell r="B66" t="str">
            <v>PF A9</v>
          </cell>
          <cell r="E66">
            <v>1.0545722952001755</v>
          </cell>
        </row>
        <row r="67">
          <cell r="B67" t="str">
            <v>PF A10</v>
          </cell>
          <cell r="E67">
            <v>1.0427329563480954</v>
          </cell>
        </row>
        <row r="68">
          <cell r="B68" t="str">
            <v>PF A11</v>
          </cell>
          <cell r="E68">
            <v>1.9287213205204836</v>
          </cell>
        </row>
        <row r="69">
          <cell r="B69" t="str">
            <v>PF A12</v>
          </cell>
          <cell r="E69">
            <v>1.9086574648277184</v>
          </cell>
        </row>
        <row r="70">
          <cell r="B70" t="str">
            <v>PF A13</v>
          </cell>
          <cell r="E70">
            <v>1.4443107909945656</v>
          </cell>
        </row>
        <row r="71">
          <cell r="B71" t="str">
            <v>PF A14</v>
          </cell>
          <cell r="E71">
            <v>1.9315133240974656</v>
          </cell>
        </row>
        <row r="72">
          <cell r="B72" t="str">
            <v>PF A15</v>
          </cell>
          <cell r="E72">
            <v>1.5090489190950254</v>
          </cell>
        </row>
        <row r="73">
          <cell r="B73" t="str">
            <v>PF A16</v>
          </cell>
          <cell r="E73">
            <v>1.5367824521112794</v>
          </cell>
        </row>
        <row r="74">
          <cell r="B74" t="str">
            <v>PF A17</v>
          </cell>
          <cell r="E74">
            <v>1.7941255297930692</v>
          </cell>
        </row>
        <row r="75">
          <cell r="B75" t="str">
            <v>PF A18</v>
          </cell>
          <cell r="E75">
            <v>0.60202058079706988</v>
          </cell>
        </row>
        <row r="76">
          <cell r="B76" t="str">
            <v>PF A19</v>
          </cell>
          <cell r="E76">
            <v>0.63365096811948207</v>
          </cell>
        </row>
        <row r="77">
          <cell r="B77" t="str">
            <v>Spese trasporto</v>
          </cell>
          <cell r="E77">
            <v>697.35714285714289</v>
          </cell>
        </row>
        <row r="78">
          <cell r="B78" t="str">
            <v>Premio Year21</v>
          </cell>
          <cell r="E78">
            <v>19834.952666666664</v>
          </cell>
        </row>
        <row r="79">
          <cell r="B79" t="str">
            <v>Addebiti vari</v>
          </cell>
          <cell r="E79">
            <v>7.155483831924637</v>
          </cell>
        </row>
        <row r="80">
          <cell r="E80" t="str">
            <v>€/qta</v>
          </cell>
        </row>
        <row r="81">
          <cell r="B81" t="str">
            <v xml:space="preserve">NB: </v>
          </cell>
        </row>
        <row r="82">
          <cell r="B82" t="str">
            <v>i) le spese di trasporto sono un riaccredito da parte di un cliente.</v>
          </cell>
        </row>
        <row r="83">
          <cell r="B83" t="str">
            <v>ii) i premi vanno a diminuire il ricavo perché erogati a clienti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9022-8714-451A-AC8C-ADBBD3500E3D}">
  <dimension ref="B1:N62"/>
  <sheetViews>
    <sheetView zoomScale="60" zoomScaleNormal="60" workbookViewId="0">
      <selection activeCell="E35" sqref="E35"/>
    </sheetView>
  </sheetViews>
  <sheetFormatPr defaultColWidth="8.77734375" defaultRowHeight="14.4" x14ac:dyDescent="0.3"/>
  <cols>
    <col min="1" max="1" width="2.77734375" style="1" customWidth="1"/>
    <col min="2" max="2" width="45.44140625" style="1" bestFit="1" customWidth="1"/>
    <col min="3" max="3" width="12.77734375" style="1" bestFit="1" customWidth="1"/>
    <col min="4" max="4" width="13.77734375" style="1" bestFit="1" customWidth="1"/>
    <col min="5" max="5" width="45.44140625" style="1" bestFit="1" customWidth="1"/>
    <col min="6" max="6" width="12.77734375" style="1" bestFit="1" customWidth="1"/>
    <col min="7" max="7" width="13.77734375" style="1" customWidth="1"/>
    <col min="8" max="16384" width="8.77734375" style="1"/>
  </cols>
  <sheetData>
    <row r="1" spans="2:14" ht="16.2" customHeight="1" thickBot="1" x14ac:dyDescent="0.35"/>
    <row r="2" spans="2:14" ht="18.600000000000001" thickBot="1" x14ac:dyDescent="0.35">
      <c r="B2" s="140" t="s">
        <v>139</v>
      </c>
      <c r="C2" s="141"/>
      <c r="E2" s="140" t="s">
        <v>139</v>
      </c>
      <c r="F2" s="141"/>
    </row>
    <row r="3" spans="2:14" x14ac:dyDescent="0.3">
      <c r="B3" s="138" t="s">
        <v>169</v>
      </c>
      <c r="C3" s="42" t="s">
        <v>65</v>
      </c>
      <c r="E3" s="142" t="s">
        <v>170</v>
      </c>
      <c r="F3" s="80" t="s">
        <v>65</v>
      </c>
    </row>
    <row r="4" spans="2:14" x14ac:dyDescent="0.3">
      <c r="B4" s="139"/>
      <c r="C4" s="43" t="s">
        <v>66</v>
      </c>
      <c r="E4" s="139"/>
      <c r="F4" s="43" t="s">
        <v>66</v>
      </c>
      <c r="J4" s="1" t="s">
        <v>191</v>
      </c>
    </row>
    <row r="5" spans="2:14" x14ac:dyDescent="0.3">
      <c r="B5" s="44" t="s">
        <v>67</v>
      </c>
      <c r="C5" s="85">
        <v>61294659.022799999</v>
      </c>
      <c r="E5" s="44"/>
      <c r="F5" s="45"/>
    </row>
    <row r="6" spans="2:14" x14ac:dyDescent="0.3">
      <c r="B6" s="46" t="s">
        <v>137</v>
      </c>
      <c r="C6" s="84">
        <v>528226.62545000005</v>
      </c>
      <c r="E6" s="46"/>
      <c r="F6" s="45"/>
    </row>
    <row r="7" spans="2:14" x14ac:dyDescent="0.3">
      <c r="B7" s="44" t="s">
        <v>138</v>
      </c>
      <c r="C7" s="84">
        <v>1877590.3519999997</v>
      </c>
      <c r="E7" s="44"/>
      <c r="F7" s="45"/>
    </row>
    <row r="8" spans="2:14" x14ac:dyDescent="0.3">
      <c r="B8" s="44" t="s">
        <v>68</v>
      </c>
      <c r="C8" s="89">
        <v>120000</v>
      </c>
      <c r="E8" s="44"/>
      <c r="F8" s="45"/>
    </row>
    <row r="9" spans="2:14" x14ac:dyDescent="0.3">
      <c r="B9" s="44" t="s">
        <v>69</v>
      </c>
      <c r="C9" s="89">
        <v>500000</v>
      </c>
      <c r="E9" s="44"/>
      <c r="F9" s="45"/>
    </row>
    <row r="10" spans="2:14" x14ac:dyDescent="0.3">
      <c r="B10" s="47" t="s">
        <v>70</v>
      </c>
      <c r="C10" s="48">
        <f>+SUM(C5:C9)</f>
        <v>64320476.000249997</v>
      </c>
      <c r="D10" s="27"/>
      <c r="E10" s="47"/>
      <c r="F10" s="48"/>
    </row>
    <row r="11" spans="2:14" x14ac:dyDescent="0.3">
      <c r="B11" s="44" t="s">
        <v>71</v>
      </c>
      <c r="C11" s="86">
        <v>-49370805.517265007</v>
      </c>
      <c r="E11" s="44"/>
      <c r="F11" s="45"/>
      <c r="J11" s="1" t="s">
        <v>279</v>
      </c>
    </row>
    <row r="12" spans="2:14" x14ac:dyDescent="0.3">
      <c r="B12" s="44" t="s">
        <v>72</v>
      </c>
      <c r="C12" s="90">
        <v>2500000</v>
      </c>
      <c r="E12" s="44"/>
      <c r="F12" s="45"/>
      <c r="J12" s="1">
        <v>1</v>
      </c>
      <c r="K12" s="1" t="s">
        <v>280</v>
      </c>
      <c r="L12" s="1" t="s">
        <v>283</v>
      </c>
      <c r="M12" s="98">
        <f xml:space="preserve"> 1.17</f>
        <v>1.17</v>
      </c>
      <c r="N12" s="1" t="s">
        <v>281</v>
      </c>
    </row>
    <row r="13" spans="2:14" x14ac:dyDescent="0.3">
      <c r="B13" s="47" t="s">
        <v>73</v>
      </c>
      <c r="C13" s="87">
        <f>+C11+C12</f>
        <v>-46870805.517265007</v>
      </c>
      <c r="E13" s="47"/>
      <c r="F13" s="48"/>
      <c r="J13" s="1">
        <v>1</v>
      </c>
      <c r="K13" s="1" t="s">
        <v>282</v>
      </c>
      <c r="L13" s="1" t="s">
        <v>283</v>
      </c>
      <c r="M13" s="1">
        <f>J13/M12</f>
        <v>0.85470085470085477</v>
      </c>
      <c r="N13" s="1" t="s">
        <v>293</v>
      </c>
    </row>
    <row r="14" spans="2:14" x14ac:dyDescent="0.3">
      <c r="B14" s="44" t="s">
        <v>74</v>
      </c>
      <c r="C14" s="45">
        <v>-4152707.4956527753</v>
      </c>
      <c r="D14" s="45"/>
      <c r="E14" s="44" t="s">
        <v>74</v>
      </c>
      <c r="F14" s="45">
        <v>-3950000</v>
      </c>
      <c r="G14" s="2"/>
      <c r="M14" s="1" t="s">
        <v>284</v>
      </c>
    </row>
    <row r="15" spans="2:14" x14ac:dyDescent="0.3">
      <c r="B15" s="44" t="s">
        <v>75</v>
      </c>
      <c r="C15" s="45">
        <v>-175000</v>
      </c>
      <c r="D15" s="27"/>
      <c r="E15" s="44" t="s">
        <v>75</v>
      </c>
      <c r="F15" s="45">
        <v>-150000</v>
      </c>
    </row>
    <row r="16" spans="2:14" x14ac:dyDescent="0.3">
      <c r="B16" s="44" t="s">
        <v>76</v>
      </c>
      <c r="C16" s="45">
        <v>-519959.9495168</v>
      </c>
      <c r="D16" s="27"/>
      <c r="E16" s="44" t="s">
        <v>76</v>
      </c>
      <c r="F16" s="45">
        <v>-705000</v>
      </c>
    </row>
    <row r="17" spans="2:6" x14ac:dyDescent="0.3">
      <c r="B17" s="47" t="s">
        <v>77</v>
      </c>
      <c r="C17" s="48">
        <f>SUM(C14:C16)</f>
        <v>-4847667.4451695755</v>
      </c>
      <c r="E17" s="47" t="s">
        <v>77</v>
      </c>
      <c r="F17" s="48">
        <f>SUM(F14:F16)</f>
        <v>-4805000</v>
      </c>
    </row>
    <row r="18" spans="2:6" x14ac:dyDescent="0.3">
      <c r="B18" s="44" t="s">
        <v>78</v>
      </c>
      <c r="C18" s="45">
        <v>-1000000</v>
      </c>
      <c r="E18" s="44" t="s">
        <v>78</v>
      </c>
      <c r="F18" s="45">
        <v>-1000000</v>
      </c>
    </row>
    <row r="19" spans="2:6" x14ac:dyDescent="0.3">
      <c r="B19" s="44" t="s">
        <v>79</v>
      </c>
      <c r="C19" s="45">
        <v>-550000</v>
      </c>
      <c r="E19" s="44" t="s">
        <v>79</v>
      </c>
      <c r="F19" s="45">
        <v>-550000</v>
      </c>
    </row>
    <row r="20" spans="2:6" ht="15" thickBot="1" x14ac:dyDescent="0.35">
      <c r="B20" s="47" t="s">
        <v>80</v>
      </c>
      <c r="C20" s="48">
        <f>SUM(C18:C19)</f>
        <v>-1550000</v>
      </c>
      <c r="E20" s="47" t="s">
        <v>80</v>
      </c>
      <c r="F20" s="48">
        <f>SUM(F18:F19)</f>
        <v>-1550000</v>
      </c>
    </row>
    <row r="21" spans="2:6" ht="15" thickBot="1" x14ac:dyDescent="0.35">
      <c r="B21" s="49" t="s">
        <v>81</v>
      </c>
      <c r="C21" s="50">
        <f>+C10+C13+C17+C20</f>
        <v>11052003.037815414</v>
      </c>
      <c r="E21" s="49"/>
      <c r="F21" s="50"/>
    </row>
    <row r="22" spans="2:6" x14ac:dyDescent="0.3">
      <c r="B22" s="44" t="s">
        <v>82</v>
      </c>
      <c r="C22" s="45">
        <v>-5650000</v>
      </c>
      <c r="E22" s="44" t="s">
        <v>82</v>
      </c>
      <c r="F22" s="45">
        <v>-5510785.9100000001</v>
      </c>
    </row>
    <row r="23" spans="2:6" x14ac:dyDescent="0.3">
      <c r="B23" s="44" t="s">
        <v>83</v>
      </c>
      <c r="C23" s="45">
        <v>-1100000</v>
      </c>
      <c r="E23" s="44" t="s">
        <v>83</v>
      </c>
      <c r="F23" s="45">
        <v>-1200000</v>
      </c>
    </row>
    <row r="24" spans="2:6" x14ac:dyDescent="0.3">
      <c r="B24" s="44" t="s">
        <v>84</v>
      </c>
      <c r="C24" s="45">
        <v>-305000</v>
      </c>
      <c r="E24" s="44" t="s">
        <v>84</v>
      </c>
      <c r="F24" s="45">
        <v>-300000</v>
      </c>
    </row>
    <row r="25" spans="2:6" x14ac:dyDescent="0.3">
      <c r="B25" s="44" t="s">
        <v>85</v>
      </c>
      <c r="C25" s="45">
        <v>-145000</v>
      </c>
      <c r="E25" s="44" t="s">
        <v>85</v>
      </c>
      <c r="F25" s="45">
        <v>-148000</v>
      </c>
    </row>
    <row r="26" spans="2:6" x14ac:dyDescent="0.3">
      <c r="B26" s="44" t="s">
        <v>86</v>
      </c>
      <c r="C26" s="45">
        <v>-307000</v>
      </c>
      <c r="E26" s="44" t="s">
        <v>86</v>
      </c>
      <c r="F26" s="45">
        <v>-302000</v>
      </c>
    </row>
    <row r="27" spans="2:6" x14ac:dyDescent="0.3">
      <c r="B27" s="44" t="s">
        <v>87</v>
      </c>
      <c r="C27" s="45">
        <v>-209500</v>
      </c>
      <c r="E27" s="44" t="s">
        <v>87</v>
      </c>
      <c r="F27" s="45">
        <v>-207000</v>
      </c>
    </row>
    <row r="28" spans="2:6" x14ac:dyDescent="0.3">
      <c r="B28" s="47" t="s">
        <v>88</v>
      </c>
      <c r="C28" s="48">
        <f>SUM(C22:C27)</f>
        <v>-7716500</v>
      </c>
      <c r="E28" s="47" t="s">
        <v>88</v>
      </c>
      <c r="F28" s="48">
        <f>SUM(F22:F27)</f>
        <v>-7667785.9100000001</v>
      </c>
    </row>
    <row r="29" spans="2:6" x14ac:dyDescent="0.3">
      <c r="B29" s="44" t="s">
        <v>89</v>
      </c>
      <c r="C29" s="45">
        <v>-556000</v>
      </c>
      <c r="E29" s="44" t="s">
        <v>89</v>
      </c>
      <c r="F29" s="45">
        <v>-550000</v>
      </c>
    </row>
    <row r="30" spans="2:6" x14ac:dyDescent="0.3">
      <c r="B30" s="44" t="s">
        <v>90</v>
      </c>
      <c r="C30" s="45">
        <v>-297000</v>
      </c>
      <c r="E30" s="44" t="s">
        <v>90</v>
      </c>
      <c r="F30" s="45">
        <v>-300000</v>
      </c>
    </row>
    <row r="31" spans="2:6" x14ac:dyDescent="0.3">
      <c r="B31" s="44" t="s">
        <v>91</v>
      </c>
      <c r="C31" s="45">
        <v>-98000</v>
      </c>
      <c r="E31" s="44" t="s">
        <v>91</v>
      </c>
      <c r="F31" s="45">
        <v>-100000</v>
      </c>
    </row>
    <row r="32" spans="2:6" ht="15" thickBot="1" x14ac:dyDescent="0.35">
      <c r="B32" s="47" t="s">
        <v>92</v>
      </c>
      <c r="C32" s="48">
        <f>SUM(C29:C31)</f>
        <v>-951000</v>
      </c>
      <c r="E32" s="81" t="s">
        <v>92</v>
      </c>
      <c r="F32" s="82">
        <f>SUM(F29:F31)</f>
        <v>-950000</v>
      </c>
    </row>
    <row r="33" spans="2:7" ht="15" thickBot="1" x14ac:dyDescent="0.35">
      <c r="B33" s="51" t="s">
        <v>93</v>
      </c>
      <c r="C33" s="52">
        <f>+C21+C28+C32</f>
        <v>2384503.0378154144</v>
      </c>
      <c r="E33" s="51"/>
      <c r="F33" s="52"/>
    </row>
    <row r="34" spans="2:7" x14ac:dyDescent="0.3">
      <c r="B34" s="46" t="s">
        <v>94</v>
      </c>
      <c r="C34" s="45">
        <v>-190000</v>
      </c>
      <c r="E34" s="46" t="s">
        <v>94</v>
      </c>
      <c r="F34" s="45">
        <v>-200000</v>
      </c>
    </row>
    <row r="35" spans="2:7" x14ac:dyDescent="0.3">
      <c r="B35" s="44" t="s">
        <v>95</v>
      </c>
      <c r="C35" s="45">
        <v>-810000</v>
      </c>
      <c r="E35" s="44" t="s">
        <v>95</v>
      </c>
      <c r="F35" s="45">
        <v>-750000</v>
      </c>
    </row>
    <row r="36" spans="2:7" x14ac:dyDescent="0.3">
      <c r="B36" s="44" t="s">
        <v>96</v>
      </c>
      <c r="C36" s="45">
        <v>-25000</v>
      </c>
      <c r="E36" s="44" t="s">
        <v>96</v>
      </c>
      <c r="F36" s="45">
        <v>-12000</v>
      </c>
    </row>
    <row r="37" spans="2:7" ht="15" thickBot="1" x14ac:dyDescent="0.35">
      <c r="B37" s="47" t="s">
        <v>97</v>
      </c>
      <c r="C37" s="48">
        <f>SUM(C34:C36)</f>
        <v>-1025000</v>
      </c>
      <c r="E37" s="81" t="s">
        <v>97</v>
      </c>
      <c r="F37" s="82">
        <f>SUM(F34:F36)</f>
        <v>-962000</v>
      </c>
    </row>
    <row r="38" spans="2:7" ht="15" thickBot="1" x14ac:dyDescent="0.35">
      <c r="B38" s="49" t="s">
        <v>98</v>
      </c>
      <c r="C38" s="50">
        <f>+C33+C37</f>
        <v>1359503.0378154144</v>
      </c>
      <c r="E38" s="28"/>
    </row>
    <row r="39" spans="2:7" x14ac:dyDescent="0.3">
      <c r="B39" s="44" t="s">
        <v>99</v>
      </c>
      <c r="C39" s="45">
        <v>-140133.03999999998</v>
      </c>
      <c r="E39" s="28"/>
    </row>
    <row r="40" spans="2:7" x14ac:dyDescent="0.3">
      <c r="B40" s="44" t="s">
        <v>100</v>
      </c>
      <c r="C40" s="45">
        <v>3543.6200000000003</v>
      </c>
      <c r="E40" s="28"/>
    </row>
    <row r="41" spans="2:7" ht="15" thickBot="1" x14ac:dyDescent="0.35">
      <c r="B41" s="47" t="s">
        <v>101</v>
      </c>
      <c r="C41" s="48">
        <f>SUM(C39:C40)</f>
        <v>-136589.41999999998</v>
      </c>
      <c r="D41" s="27"/>
      <c r="E41" s="28"/>
      <c r="G41" s="27"/>
    </row>
    <row r="42" spans="2:7" ht="15" thickBot="1" x14ac:dyDescent="0.35">
      <c r="B42" s="49" t="s">
        <v>102</v>
      </c>
      <c r="C42" s="50">
        <f>+C38+C41</f>
        <v>1222913.6178154144</v>
      </c>
      <c r="E42" s="28"/>
    </row>
    <row r="43" spans="2:7" x14ac:dyDescent="0.3">
      <c r="B43" s="44" t="s">
        <v>103</v>
      </c>
      <c r="C43" s="45">
        <v>-130503.97</v>
      </c>
      <c r="E43" s="28"/>
    </row>
    <row r="44" spans="2:7" x14ac:dyDescent="0.3">
      <c r="B44" s="44" t="s">
        <v>104</v>
      </c>
      <c r="C44" s="45">
        <v>0</v>
      </c>
      <c r="E44" s="28"/>
    </row>
    <row r="45" spans="2:7" x14ac:dyDescent="0.3">
      <c r="B45" s="44" t="s">
        <v>105</v>
      </c>
      <c r="C45" s="45">
        <v>0</v>
      </c>
      <c r="E45" s="28"/>
    </row>
    <row r="46" spans="2:7" ht="15" thickBot="1" x14ac:dyDescent="0.35">
      <c r="B46" s="47" t="s">
        <v>106</v>
      </c>
      <c r="C46" s="48">
        <f>SUM(C43:C45)</f>
        <v>-130503.97</v>
      </c>
      <c r="E46" s="28"/>
    </row>
    <row r="47" spans="2:7" ht="15" thickBot="1" x14ac:dyDescent="0.35">
      <c r="B47" s="49" t="s">
        <v>107</v>
      </c>
      <c r="C47" s="50">
        <f>+C46+C42</f>
        <v>1092409.6478154145</v>
      </c>
      <c r="E47" s="28"/>
    </row>
    <row r="48" spans="2:7" ht="15" thickBot="1" x14ac:dyDescent="0.35">
      <c r="B48" s="44" t="s">
        <v>108</v>
      </c>
      <c r="C48" s="45">
        <v>-327722.8943446154</v>
      </c>
      <c r="E48" s="28"/>
    </row>
    <row r="49" spans="2:6" ht="15" thickBot="1" x14ac:dyDescent="0.35">
      <c r="B49" s="49" t="s">
        <v>109</v>
      </c>
      <c r="C49" s="50">
        <f>+C48+C47</f>
        <v>764686.75347079907</v>
      </c>
      <c r="E49" s="28"/>
    </row>
    <row r="50" spans="2:6" x14ac:dyDescent="0.3">
      <c r="B50" s="28"/>
      <c r="E50" s="28"/>
    </row>
    <row r="51" spans="2:6" x14ac:dyDescent="0.3">
      <c r="B51" s="28"/>
      <c r="E51" s="28"/>
    </row>
    <row r="52" spans="2:6" x14ac:dyDescent="0.3">
      <c r="B52" s="28"/>
      <c r="E52" s="28"/>
    </row>
    <row r="53" spans="2:6" x14ac:dyDescent="0.3">
      <c r="B53" s="28"/>
      <c r="E53" s="28"/>
    </row>
    <row r="54" spans="2:6" x14ac:dyDescent="0.3">
      <c r="B54" s="28"/>
      <c r="E54" s="28"/>
    </row>
    <row r="55" spans="2:6" x14ac:dyDescent="0.3">
      <c r="B55" s="28"/>
      <c r="E55" s="28"/>
    </row>
    <row r="56" spans="2:6" x14ac:dyDescent="0.3">
      <c r="B56" s="28"/>
      <c r="E56" s="28"/>
    </row>
    <row r="57" spans="2:6" x14ac:dyDescent="0.3">
      <c r="B57" s="28"/>
      <c r="C57" s="29"/>
      <c r="E57" s="28"/>
      <c r="F57" s="29"/>
    </row>
    <row r="58" spans="2:6" x14ac:dyDescent="0.3">
      <c r="B58" s="28"/>
      <c r="E58" s="28"/>
    </row>
    <row r="59" spans="2:6" x14ac:dyDescent="0.3">
      <c r="B59" s="28"/>
      <c r="E59" s="28"/>
    </row>
    <row r="60" spans="2:6" x14ac:dyDescent="0.3">
      <c r="B60" s="28"/>
      <c r="C60" s="29"/>
      <c r="E60" s="28"/>
      <c r="F60" s="29"/>
    </row>
    <row r="61" spans="2:6" x14ac:dyDescent="0.3">
      <c r="B61" s="28"/>
      <c r="E61" s="28"/>
    </row>
    <row r="62" spans="2:6" x14ac:dyDescent="0.3">
      <c r="B62" s="28"/>
      <c r="C62" s="30"/>
      <c r="E62" s="28"/>
      <c r="F62" s="30"/>
    </row>
  </sheetData>
  <mergeCells count="4">
    <mergeCell ref="B3:B4"/>
    <mergeCell ref="B2:C2"/>
    <mergeCell ref="E2:F2"/>
    <mergeCell ref="E3:E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topLeftCell="A65" zoomScale="60" zoomScaleNormal="60" workbookViewId="0">
      <selection activeCell="D81" sqref="D81"/>
    </sheetView>
  </sheetViews>
  <sheetFormatPr defaultColWidth="8.77734375" defaultRowHeight="14.4" x14ac:dyDescent="0.3"/>
  <cols>
    <col min="1" max="1" width="2.77734375" style="1" customWidth="1"/>
    <col min="2" max="2" width="14.21875" style="1" customWidth="1"/>
    <col min="3" max="3" width="8.5546875" style="1" bestFit="1" customWidth="1"/>
    <col min="4" max="4" width="12.44140625" style="1" bestFit="1" customWidth="1"/>
    <col min="5" max="5" width="13.5546875" style="1" bestFit="1" customWidth="1"/>
    <col min="6" max="6" width="16.77734375" style="1" bestFit="1" customWidth="1"/>
    <col min="7" max="7" width="14.5546875" style="1" bestFit="1" customWidth="1"/>
    <col min="8" max="8" width="14.77734375" style="1" bestFit="1" customWidth="1"/>
    <col min="9" max="9" width="11.77734375" style="1" bestFit="1" customWidth="1"/>
    <col min="10" max="10" width="14.77734375" style="1" bestFit="1" customWidth="1"/>
    <col min="11" max="11" width="9.77734375" style="1" bestFit="1" customWidth="1"/>
    <col min="12" max="12" width="12.44140625" style="1" bestFit="1" customWidth="1"/>
    <col min="13" max="14" width="13.5546875" style="1" bestFit="1" customWidth="1"/>
    <col min="15" max="16" width="16.77734375" style="1" bestFit="1" customWidth="1"/>
    <col min="17" max="17" width="18.77734375" style="1" bestFit="1" customWidth="1"/>
    <col min="18" max="18" width="8.77734375" style="1"/>
    <col min="19" max="19" width="8.77734375" style="1" customWidth="1"/>
    <col min="20" max="16384" width="8.77734375" style="1"/>
  </cols>
  <sheetData>
    <row r="1" spans="1:19" ht="15.6" customHeight="1" thickBot="1" x14ac:dyDescent="0.35"/>
    <row r="2" spans="1:19" ht="15" thickBot="1" x14ac:dyDescent="0.35">
      <c r="B2" s="143" t="s">
        <v>162</v>
      </c>
      <c r="C2" s="144"/>
      <c r="D2" s="144"/>
      <c r="E2" s="144"/>
      <c r="F2" s="145"/>
      <c r="H2" s="59"/>
      <c r="J2" s="143" t="s">
        <v>64</v>
      </c>
      <c r="K2" s="144"/>
      <c r="L2" s="144"/>
      <c r="M2" s="144"/>
      <c r="N2" s="144"/>
      <c r="O2" s="144"/>
      <c r="P2" s="144"/>
      <c r="Q2" s="145"/>
      <c r="S2" s="88"/>
    </row>
    <row r="3" spans="1:19" ht="15" thickBot="1" x14ac:dyDescent="0.35">
      <c r="B3" s="54" t="s">
        <v>110</v>
      </c>
      <c r="C3" s="55" t="s">
        <v>124</v>
      </c>
      <c r="D3" s="55" t="s">
        <v>111</v>
      </c>
      <c r="E3" s="55" t="s">
        <v>112</v>
      </c>
      <c r="F3" s="56" t="s">
        <v>119</v>
      </c>
      <c r="J3" s="54" t="s">
        <v>110</v>
      </c>
      <c r="K3" s="55" t="s">
        <v>124</v>
      </c>
      <c r="L3" s="55" t="s">
        <v>111</v>
      </c>
      <c r="M3" s="55" t="s">
        <v>112</v>
      </c>
      <c r="N3" s="55" t="s">
        <v>159</v>
      </c>
      <c r="O3" s="55" t="s">
        <v>119</v>
      </c>
      <c r="P3" s="55" t="s">
        <v>158</v>
      </c>
      <c r="Q3" s="56" t="s">
        <v>156</v>
      </c>
    </row>
    <row r="4" spans="1:19" ht="15" thickBot="1" x14ac:dyDescent="0.35">
      <c r="B4" s="35" t="s">
        <v>0</v>
      </c>
      <c r="C4" s="1" t="s">
        <v>115</v>
      </c>
      <c r="D4" s="37">
        <v>20</v>
      </c>
      <c r="E4" s="38">
        <f>[1]Foglio1!U2</f>
        <v>10</v>
      </c>
      <c r="F4" s="57">
        <f>[1]Foglio1!V2</f>
        <v>7</v>
      </c>
      <c r="G4" s="2">
        <f>D4*F4</f>
        <v>140</v>
      </c>
      <c r="H4" s="37">
        <f>SUM(_xlfn.ANCHORARRAY(G4))</f>
        <v>140</v>
      </c>
      <c r="J4" s="78" t="s">
        <v>0</v>
      </c>
      <c r="K4" s="64" t="s">
        <v>115</v>
      </c>
      <c r="L4" s="65">
        <v>48000</v>
      </c>
      <c r="M4" s="66">
        <v>0.93</v>
      </c>
      <c r="N4" s="66"/>
      <c r="O4" s="100">
        <f>P4*'CE 21-22'!$M$13*(1+$M$70)</f>
        <v>0.59257692307692311</v>
      </c>
      <c r="P4" s="67">
        <v>0.65100000000000002</v>
      </c>
      <c r="Q4" s="74" t="s">
        <v>157</v>
      </c>
    </row>
    <row r="5" spans="1:19" ht="15" thickBot="1" x14ac:dyDescent="0.35">
      <c r="B5" s="35" t="s">
        <v>1</v>
      </c>
      <c r="C5" s="1" t="s">
        <v>115</v>
      </c>
      <c r="D5" s="37">
        <v>98027.32</v>
      </c>
      <c r="E5" s="38">
        <f>[1]Foglio1!U3</f>
        <v>2.8454343054568869</v>
      </c>
      <c r="F5" s="57">
        <f>[1]Foglio1!V3</f>
        <v>1.9918040138198205</v>
      </c>
      <c r="G5" s="2">
        <f t="shared" ref="G5:G68" si="0">D5*F5</f>
        <v>195251.20943999998</v>
      </c>
      <c r="H5" s="37"/>
      <c r="J5" s="35" t="s">
        <v>1</v>
      </c>
      <c r="K5" s="1" t="s">
        <v>115</v>
      </c>
      <c r="L5" s="37">
        <v>700</v>
      </c>
      <c r="M5" s="38">
        <v>4</v>
      </c>
      <c r="N5" s="38"/>
      <c r="O5" s="100">
        <f>P5*'CE 21-22'!$M$13*(1+$M$70)</f>
        <v>2.5487179487179485</v>
      </c>
      <c r="P5" s="61">
        <v>2.8</v>
      </c>
      <c r="Q5" s="75" t="s">
        <v>157</v>
      </c>
    </row>
    <row r="6" spans="1:19" ht="15" thickBot="1" x14ac:dyDescent="0.35">
      <c r="B6" s="35" t="s">
        <v>2</v>
      </c>
      <c r="C6" s="1" t="s">
        <v>115</v>
      </c>
      <c r="D6" s="37">
        <v>42676.35</v>
      </c>
      <c r="E6" s="38">
        <f>[1]Foglio1!U4</f>
        <v>2.394191982210288</v>
      </c>
      <c r="F6" s="57">
        <f>[1]Foglio1!V4</f>
        <v>1.6759343875472015</v>
      </c>
      <c r="G6" s="2">
        <f t="shared" si="0"/>
        <v>71522.762500000012</v>
      </c>
      <c r="H6" s="37"/>
      <c r="J6" s="35" t="s">
        <v>2</v>
      </c>
      <c r="K6" s="1" t="s">
        <v>115</v>
      </c>
      <c r="L6" s="37">
        <v>1100</v>
      </c>
      <c r="M6" s="38">
        <v>2.4</v>
      </c>
      <c r="N6" s="38"/>
      <c r="O6" s="100">
        <f>P6*'CE 21-22'!$M$13*(1+$M$70)</f>
        <v>1.5292307692307692</v>
      </c>
      <c r="P6" s="61">
        <v>1.68</v>
      </c>
      <c r="Q6" s="75" t="s">
        <v>157</v>
      </c>
    </row>
    <row r="7" spans="1:19" ht="15" thickBot="1" x14ac:dyDescent="0.35">
      <c r="B7" s="35" t="s">
        <v>3</v>
      </c>
      <c r="C7" s="1" t="s">
        <v>115</v>
      </c>
      <c r="D7" s="37">
        <v>22386.52</v>
      </c>
      <c r="E7" s="38">
        <f>[1]Foglio1!U5</f>
        <v>1.6259024091283505</v>
      </c>
      <c r="F7" s="57">
        <f>[1]Foglio1!V5</f>
        <v>1.1381316863898452</v>
      </c>
      <c r="G7" s="2">
        <f t="shared" si="0"/>
        <v>25478.807759999996</v>
      </c>
      <c r="H7" s="37"/>
      <c r="J7" s="35" t="s">
        <v>3</v>
      </c>
      <c r="K7" s="1" t="s">
        <v>115</v>
      </c>
      <c r="L7" s="37">
        <v>125</v>
      </c>
      <c r="M7" s="38">
        <v>4</v>
      </c>
      <c r="N7" s="38"/>
      <c r="O7" s="100">
        <f>P7*'CE 21-22'!$M$13*(1+$M$70)</f>
        <v>2.5487179487179485</v>
      </c>
      <c r="P7" s="61">
        <v>2.8</v>
      </c>
      <c r="Q7" s="75" t="s">
        <v>157</v>
      </c>
    </row>
    <row r="8" spans="1:19" ht="15" thickBot="1" x14ac:dyDescent="0.35">
      <c r="B8" s="35" t="s">
        <v>4</v>
      </c>
      <c r="C8" s="1" t="s">
        <v>115</v>
      </c>
      <c r="D8" s="37">
        <v>7.54</v>
      </c>
      <c r="E8" s="38">
        <f>[1]Foglio1!U6</f>
        <v>7.2999999999999989</v>
      </c>
      <c r="F8" s="57">
        <f>[1]Foglio1!V6</f>
        <v>5.1099999999999985</v>
      </c>
      <c r="G8" s="2">
        <f t="shared" si="0"/>
        <v>38.529399999999988</v>
      </c>
      <c r="H8" s="37"/>
      <c r="J8" s="35" t="s">
        <v>4</v>
      </c>
      <c r="K8" s="1" t="s">
        <v>115</v>
      </c>
      <c r="L8" s="37">
        <v>1925</v>
      </c>
      <c r="M8" s="38">
        <v>2.9058441558441559</v>
      </c>
      <c r="N8" s="38"/>
      <c r="O8" s="100">
        <f>P8*'CE 21-22'!$M$13*(1+$M$70)</f>
        <v>1.8515442890442888</v>
      </c>
      <c r="P8" s="61">
        <v>2.0340909090909087</v>
      </c>
      <c r="Q8" s="75" t="s">
        <v>157</v>
      </c>
    </row>
    <row r="9" spans="1:19" ht="15" thickBot="1" x14ac:dyDescent="0.35">
      <c r="B9" s="35" t="s">
        <v>5</v>
      </c>
      <c r="C9" s="1" t="s">
        <v>115</v>
      </c>
      <c r="D9" s="37">
        <v>2430.3299999999995</v>
      </c>
      <c r="E9" s="38">
        <f>[1]Foglio1!U7</f>
        <v>1.407538523574988</v>
      </c>
      <c r="F9" s="57">
        <f>[1]Foglio1!V7</f>
        <v>0.98527696650249152</v>
      </c>
      <c r="G9" s="2">
        <f t="shared" si="0"/>
        <v>2394.5481699999996</v>
      </c>
      <c r="H9" s="37"/>
      <c r="J9" s="35" t="s">
        <v>5</v>
      </c>
      <c r="K9" s="1" t="s">
        <v>115</v>
      </c>
      <c r="L9" s="37">
        <v>125</v>
      </c>
      <c r="M9" s="38">
        <v>4.4000000000000004</v>
      </c>
      <c r="N9" s="38"/>
      <c r="O9" s="100">
        <f>P9*'CE 21-22'!$M$13*(1+$M$70)</f>
        <v>2.8035897435897441</v>
      </c>
      <c r="P9" s="61">
        <v>3.08</v>
      </c>
      <c r="Q9" s="75" t="s">
        <v>157</v>
      </c>
    </row>
    <row r="10" spans="1:19" ht="15" thickBot="1" x14ac:dyDescent="0.35">
      <c r="B10" s="35" t="s">
        <v>6</v>
      </c>
      <c r="C10" s="1" t="s">
        <v>115</v>
      </c>
      <c r="D10" s="37">
        <v>250</v>
      </c>
      <c r="E10" s="38">
        <f>[1]Foglio1!U8</f>
        <v>2.9</v>
      </c>
      <c r="F10" s="57">
        <f>[1]Foglio1!V8</f>
        <v>2.0299999999999998</v>
      </c>
      <c r="G10" s="2">
        <f t="shared" si="0"/>
        <v>507.49999999999994</v>
      </c>
      <c r="H10" s="37"/>
      <c r="J10" s="35" t="s">
        <v>6</v>
      </c>
      <c r="K10" s="1" t="s">
        <v>115</v>
      </c>
      <c r="L10" s="37">
        <v>2000</v>
      </c>
      <c r="M10" s="38">
        <v>4.62</v>
      </c>
      <c r="N10" s="38"/>
      <c r="O10" s="100">
        <f>P10*'CE 21-22'!$M$13*(1+$M$70)</f>
        <v>2.9437692307692309</v>
      </c>
      <c r="P10" s="61">
        <v>3.234</v>
      </c>
      <c r="Q10" s="75" t="s">
        <v>157</v>
      </c>
    </row>
    <row r="11" spans="1:19" x14ac:dyDescent="0.3">
      <c r="B11" s="35" t="s">
        <v>7</v>
      </c>
      <c r="C11" s="1" t="s">
        <v>115</v>
      </c>
      <c r="D11" s="37">
        <v>4269.45</v>
      </c>
      <c r="E11" s="38">
        <f>[1]Foglio1!U9</f>
        <v>2.069991076133928</v>
      </c>
      <c r="F11" s="57">
        <f>[1]Foglio1!V9</f>
        <v>1.4489937532937498</v>
      </c>
      <c r="G11" s="2">
        <f t="shared" si="0"/>
        <v>6186.4063799999994</v>
      </c>
      <c r="H11" s="37"/>
      <c r="J11" s="35" t="s">
        <v>7</v>
      </c>
      <c r="K11" s="1" t="s">
        <v>115</v>
      </c>
      <c r="L11" s="37">
        <v>1000</v>
      </c>
      <c r="M11" s="38">
        <v>2.65</v>
      </c>
      <c r="N11" s="38"/>
      <c r="O11" s="100">
        <f>P11*'CE 21-22'!$M$13*(1+$M$70)</f>
        <v>1.6885256410256408</v>
      </c>
      <c r="P11" s="61">
        <v>1.8549999999999998</v>
      </c>
      <c r="Q11" s="75" t="s">
        <v>157</v>
      </c>
    </row>
    <row r="12" spans="1:19" x14ac:dyDescent="0.3">
      <c r="A12" s="88"/>
      <c r="B12" s="35" t="s">
        <v>8</v>
      </c>
      <c r="C12" s="1" t="s">
        <v>115</v>
      </c>
      <c r="D12" s="37">
        <v>4864.37</v>
      </c>
      <c r="E12" s="38">
        <f>[1]Foglio1!U10</f>
        <v>2.5294423532749355</v>
      </c>
      <c r="F12" s="57">
        <f>[1]Foglio1!V10</f>
        <v>1.7706096472924546</v>
      </c>
      <c r="G12" s="2">
        <f t="shared" si="0"/>
        <v>8612.9004499999974</v>
      </c>
      <c r="H12" s="37"/>
      <c r="J12" s="35" t="s">
        <v>8</v>
      </c>
      <c r="K12" s="1" t="s">
        <v>115</v>
      </c>
      <c r="L12" s="37">
        <v>7000</v>
      </c>
      <c r="M12" s="38">
        <v>0.19</v>
      </c>
      <c r="N12" s="38"/>
      <c r="O12" s="61">
        <v>0.13299999999999998</v>
      </c>
      <c r="P12" s="38"/>
      <c r="Q12" s="62"/>
    </row>
    <row r="13" spans="1:19" x14ac:dyDescent="0.3">
      <c r="B13" s="35" t="s">
        <v>9</v>
      </c>
      <c r="C13" s="1" t="s">
        <v>115</v>
      </c>
      <c r="D13" s="37">
        <v>337.42000000000007</v>
      </c>
      <c r="E13" s="38">
        <f>[1]Foglio1!U11</f>
        <v>2.3872630549463576</v>
      </c>
      <c r="F13" s="57">
        <f>[1]Foglio1!V11</f>
        <v>1.6710841384624504</v>
      </c>
      <c r="G13" s="2">
        <f t="shared" si="0"/>
        <v>563.85721000000012</v>
      </c>
      <c r="H13" s="37"/>
      <c r="J13" s="35" t="s">
        <v>9</v>
      </c>
      <c r="K13" s="1" t="s">
        <v>115</v>
      </c>
      <c r="L13" s="37">
        <v>34866.400000000001</v>
      </c>
      <c r="M13" s="38">
        <v>0.50710643771654074</v>
      </c>
      <c r="N13" s="38"/>
      <c r="O13" s="61">
        <v>0.35497450640157852</v>
      </c>
      <c r="P13" s="38"/>
      <c r="Q13" s="62"/>
    </row>
    <row r="14" spans="1:19" x14ac:dyDescent="0.3">
      <c r="B14" s="35" t="s">
        <v>10</v>
      </c>
      <c r="C14" s="1" t="s">
        <v>115</v>
      </c>
      <c r="D14" s="37">
        <v>157.96999999999997</v>
      </c>
      <c r="E14" s="38">
        <f>[1]Foglio1!U12</f>
        <v>1.4000000000000004</v>
      </c>
      <c r="F14" s="57">
        <f>[1]Foglio1!V12</f>
        <v>0.98000000000000009</v>
      </c>
      <c r="G14" s="2">
        <f t="shared" si="0"/>
        <v>154.81059999999999</v>
      </c>
      <c r="H14" s="37"/>
      <c r="J14" s="35" t="s">
        <v>10</v>
      </c>
      <c r="K14" s="1" t="s">
        <v>115</v>
      </c>
      <c r="L14" s="37">
        <v>14037.12</v>
      </c>
      <c r="M14" s="38">
        <v>7.4104528564263887</v>
      </c>
      <c r="N14" s="38"/>
      <c r="O14" s="61">
        <v>5.1873169994984716</v>
      </c>
      <c r="P14" s="38"/>
      <c r="Q14" s="62"/>
    </row>
    <row r="15" spans="1:19" x14ac:dyDescent="0.3">
      <c r="B15" s="35" t="s">
        <v>11</v>
      </c>
      <c r="C15" s="1" t="s">
        <v>115</v>
      </c>
      <c r="D15" s="37">
        <v>8991.880000000001</v>
      </c>
      <c r="E15" s="38">
        <f>[1]Foglio1!U13</f>
        <v>1.88</v>
      </c>
      <c r="F15" s="57">
        <f>[1]Foglio1!V13</f>
        <v>1.3159999999999998</v>
      </c>
      <c r="G15" s="2">
        <f t="shared" si="0"/>
        <v>11833.31408</v>
      </c>
      <c r="H15" s="37"/>
      <c r="J15" s="35" t="s">
        <v>11</v>
      </c>
      <c r="K15" s="1" t="s">
        <v>115</v>
      </c>
      <c r="L15" s="37">
        <v>1904</v>
      </c>
      <c r="M15" s="38">
        <v>1.4275735294117646</v>
      </c>
      <c r="N15" s="38"/>
      <c r="O15" s="61">
        <v>0.99930147058823504</v>
      </c>
      <c r="P15" s="38"/>
      <c r="Q15" s="62"/>
    </row>
    <row r="16" spans="1:19" x14ac:dyDescent="0.3">
      <c r="B16" s="35" t="s">
        <v>12</v>
      </c>
      <c r="C16" s="1" t="s">
        <v>115</v>
      </c>
      <c r="D16" s="37">
        <v>83.57</v>
      </c>
      <c r="E16" s="38">
        <f>[1]Foglio1!U14</f>
        <v>1.1300000000000001</v>
      </c>
      <c r="F16" s="57">
        <f>[1]Foglio1!V14</f>
        <v>0.79100000000000004</v>
      </c>
      <c r="G16" s="2">
        <f t="shared" si="0"/>
        <v>66.103870000000001</v>
      </c>
      <c r="H16" s="37"/>
      <c r="J16" s="35" t="s">
        <v>12</v>
      </c>
      <c r="K16" s="1" t="s">
        <v>115</v>
      </c>
      <c r="L16" s="37">
        <v>150</v>
      </c>
      <c r="M16" s="38">
        <v>13</v>
      </c>
      <c r="N16" s="38"/>
      <c r="O16" s="61">
        <v>9.1</v>
      </c>
      <c r="P16" s="38"/>
      <c r="Q16" s="62"/>
    </row>
    <row r="17" spans="2:17" ht="15" thickBot="1" x14ac:dyDescent="0.35">
      <c r="B17" s="35" t="s">
        <v>13</v>
      </c>
      <c r="C17" s="1" t="s">
        <v>115</v>
      </c>
      <c r="D17" s="37">
        <v>1919.5499999999997</v>
      </c>
      <c r="E17" s="38">
        <f>[1]Foglio1!U15</f>
        <v>3.6564488552004386</v>
      </c>
      <c r="F17" s="57">
        <f>[1]Foglio1!V15</f>
        <v>2.5595141986403069</v>
      </c>
      <c r="G17" s="2">
        <f t="shared" si="0"/>
        <v>4913.1154800000004</v>
      </c>
      <c r="H17" s="37"/>
      <c r="J17" s="79" t="s">
        <v>13</v>
      </c>
      <c r="K17" s="68" t="s">
        <v>115</v>
      </c>
      <c r="L17" s="69">
        <v>20</v>
      </c>
      <c r="M17" s="70">
        <v>13.5</v>
      </c>
      <c r="N17" s="70"/>
      <c r="O17" s="71">
        <v>9.4499999999999993</v>
      </c>
      <c r="P17" s="70"/>
      <c r="Q17" s="72"/>
    </row>
    <row r="18" spans="2:17" x14ac:dyDescent="0.3">
      <c r="B18" s="35" t="s">
        <v>140</v>
      </c>
      <c r="C18" s="1" t="s">
        <v>115</v>
      </c>
      <c r="D18" s="37">
        <v>29681.74</v>
      </c>
      <c r="E18" s="38">
        <f>[1]Foglio1!U16</f>
        <v>0.29851713713549144</v>
      </c>
      <c r="F18" s="57">
        <f>[1]Foglio1!V16</f>
        <v>0.208961995994844</v>
      </c>
      <c r="G18" s="2">
        <f t="shared" si="0"/>
        <v>6202.3556350000008</v>
      </c>
      <c r="H18" s="37"/>
      <c r="J18" s="78" t="s">
        <v>14</v>
      </c>
      <c r="K18" s="64" t="s">
        <v>116</v>
      </c>
      <c r="L18" s="65">
        <v>2160885</v>
      </c>
      <c r="M18" s="66">
        <v>0.11065878100870709</v>
      </c>
      <c r="N18" s="66"/>
      <c r="O18" s="67">
        <v>0.06</v>
      </c>
      <c r="P18" s="66"/>
      <c r="Q18" s="73"/>
    </row>
    <row r="19" spans="2:17" x14ac:dyDescent="0.3">
      <c r="B19" s="35" t="s">
        <v>141</v>
      </c>
      <c r="C19" s="1" t="s">
        <v>115</v>
      </c>
      <c r="D19" s="37">
        <v>1390.97</v>
      </c>
      <c r="E19" s="38">
        <f>[1]Foglio1!U17</f>
        <v>1.3214682559652613</v>
      </c>
      <c r="F19" s="57">
        <f>[1]Foglio1!V17</f>
        <v>0.92502777917568291</v>
      </c>
      <c r="G19" s="2">
        <f t="shared" si="0"/>
        <v>1286.6858899999997</v>
      </c>
      <c r="H19" s="37"/>
      <c r="J19" s="35" t="s">
        <v>15</v>
      </c>
      <c r="K19" s="1" t="s">
        <v>116</v>
      </c>
      <c r="L19" s="37">
        <v>168325</v>
      </c>
      <c r="M19" s="38">
        <v>0.63902212980840634</v>
      </c>
      <c r="N19" s="38"/>
      <c r="O19" s="61">
        <v>0.45</v>
      </c>
      <c r="P19" s="38"/>
      <c r="Q19" s="62"/>
    </row>
    <row r="20" spans="2:17" x14ac:dyDescent="0.3">
      <c r="B20" s="35" t="s">
        <v>142</v>
      </c>
      <c r="C20" s="1" t="s">
        <v>115</v>
      </c>
      <c r="D20" s="37">
        <v>10021.100000000002</v>
      </c>
      <c r="E20" s="38">
        <f>[1]Foglio1!U18</f>
        <v>0.20188006306692874</v>
      </c>
      <c r="F20" s="57">
        <f>[1]Foglio1!V18</f>
        <v>0.14131604414685014</v>
      </c>
      <c r="G20" s="2">
        <f t="shared" si="0"/>
        <v>1416.1422100000002</v>
      </c>
      <c r="H20" s="37"/>
      <c r="J20" s="35" t="s">
        <v>16</v>
      </c>
      <c r="K20" s="1" t="s">
        <v>116</v>
      </c>
      <c r="L20" s="37">
        <v>495475</v>
      </c>
      <c r="M20" s="38">
        <v>1.6503165205106214</v>
      </c>
      <c r="N20" s="38"/>
      <c r="O20" s="61">
        <v>1.2250024178212826</v>
      </c>
      <c r="P20" s="38"/>
      <c r="Q20" s="62"/>
    </row>
    <row r="21" spans="2:17" x14ac:dyDescent="0.3">
      <c r="B21" s="35" t="s">
        <v>143</v>
      </c>
      <c r="C21" s="1" t="s">
        <v>115</v>
      </c>
      <c r="D21" s="37">
        <v>11225.390000000001</v>
      </c>
      <c r="E21" s="38">
        <f>[1]Foglio1!U19</f>
        <v>3.4812737374826175</v>
      </c>
      <c r="F21" s="57">
        <f>[1]Foglio1!V19</f>
        <v>2.436891616237832</v>
      </c>
      <c r="G21" s="2">
        <f t="shared" si="0"/>
        <v>27355.058779999999</v>
      </c>
      <c r="H21" s="37"/>
      <c r="J21" s="35" t="s">
        <v>17</v>
      </c>
      <c r="K21" s="1" t="s">
        <v>116</v>
      </c>
      <c r="L21" s="37">
        <v>489058</v>
      </c>
      <c r="M21" s="38">
        <v>2.6814489976240035</v>
      </c>
      <c r="N21" s="38"/>
      <c r="O21" s="61">
        <v>2.2169886391798115</v>
      </c>
      <c r="P21" s="38"/>
      <c r="Q21" s="62"/>
    </row>
    <row r="22" spans="2:17" ht="15" thickBot="1" x14ac:dyDescent="0.35">
      <c r="B22" s="35" t="s">
        <v>144</v>
      </c>
      <c r="C22" s="1" t="s">
        <v>115</v>
      </c>
      <c r="D22" s="37">
        <v>5.18</v>
      </c>
      <c r="E22" s="38">
        <f>[1]Foglio1!U20</f>
        <v>5.1675675675675672</v>
      </c>
      <c r="F22" s="57">
        <f>[1]Foglio1!V20</f>
        <v>3.6172972972972968</v>
      </c>
      <c r="G22" s="2">
        <f t="shared" si="0"/>
        <v>18.737599999999997</v>
      </c>
      <c r="H22" s="37"/>
      <c r="J22" s="79" t="s">
        <v>18</v>
      </c>
      <c r="K22" s="68" t="s">
        <v>116</v>
      </c>
      <c r="L22" s="69">
        <v>6160</v>
      </c>
      <c r="M22" s="70">
        <v>2.25</v>
      </c>
      <c r="N22" s="70"/>
      <c r="O22" s="71">
        <v>1.8643499999999997</v>
      </c>
      <c r="P22" s="70"/>
      <c r="Q22" s="72"/>
    </row>
    <row r="23" spans="2:17" x14ac:dyDescent="0.3">
      <c r="B23" s="35" t="s">
        <v>145</v>
      </c>
      <c r="C23" s="1" t="s">
        <v>115</v>
      </c>
      <c r="D23" s="37">
        <v>0.17</v>
      </c>
      <c r="E23" s="38">
        <f>[1]Foglio1!U21</f>
        <v>0.45000000000000007</v>
      </c>
      <c r="F23" s="57">
        <f>[1]Foglio1!V21</f>
        <v>0.315</v>
      </c>
      <c r="G23" s="2">
        <f t="shared" si="0"/>
        <v>5.3550000000000007E-2</v>
      </c>
      <c r="H23" s="37"/>
      <c r="J23" s="78" t="s">
        <v>19</v>
      </c>
      <c r="K23" s="64" t="s">
        <v>117</v>
      </c>
      <c r="L23" s="65">
        <v>1719564</v>
      </c>
      <c r="M23" s="66">
        <v>3.2527355771579307</v>
      </c>
      <c r="N23" s="66"/>
      <c r="O23" s="67">
        <v>2.2970083985533547</v>
      </c>
      <c r="P23" s="66"/>
      <c r="Q23" s="73"/>
    </row>
    <row r="24" spans="2:17" x14ac:dyDescent="0.3">
      <c r="B24" s="35" t="s">
        <v>146</v>
      </c>
      <c r="C24" s="1" t="s">
        <v>115</v>
      </c>
      <c r="D24" s="37">
        <v>1749.63</v>
      </c>
      <c r="E24" s="38">
        <f>[1]Foglio1!U22</f>
        <v>4.4926663923229482</v>
      </c>
      <c r="F24" s="57">
        <f>[1]Foglio1!V22</f>
        <v>3.1448664746260633</v>
      </c>
      <c r="G24" s="2">
        <f t="shared" si="0"/>
        <v>5502.3527299999996</v>
      </c>
      <c r="H24" s="37"/>
      <c r="J24" s="35" t="s">
        <v>20</v>
      </c>
      <c r="K24" s="1" t="s">
        <v>117</v>
      </c>
      <c r="L24" s="37">
        <v>292499</v>
      </c>
      <c r="M24" s="38">
        <v>3.2730881131217542</v>
      </c>
      <c r="N24" s="38"/>
      <c r="O24" s="61">
        <v>2.2528709887555176</v>
      </c>
      <c r="P24" s="38"/>
      <c r="Q24" s="62"/>
    </row>
    <row r="25" spans="2:17" x14ac:dyDescent="0.3">
      <c r="B25" s="35" t="s">
        <v>147</v>
      </c>
      <c r="C25" s="1" t="s">
        <v>115</v>
      </c>
      <c r="D25" s="37">
        <v>26.279999999999998</v>
      </c>
      <c r="E25" s="38">
        <f>[1]Foglio1!U23</f>
        <v>6.6300000000000008</v>
      </c>
      <c r="F25" s="57">
        <f>[1]Foglio1!V23</f>
        <v>4.641</v>
      </c>
      <c r="G25" s="2">
        <f t="shared" si="0"/>
        <v>121.96547999999999</v>
      </c>
      <c r="H25" s="37"/>
      <c r="J25" s="35" t="s">
        <v>21</v>
      </c>
      <c r="K25" s="1" t="s">
        <v>117</v>
      </c>
      <c r="L25" s="37">
        <v>442800</v>
      </c>
      <c r="M25" s="38">
        <v>3.2317332881662151</v>
      </c>
      <c r="N25" s="38"/>
      <c r="O25" s="61">
        <v>2.2767847363369467</v>
      </c>
      <c r="P25" s="38"/>
      <c r="Q25" s="62"/>
    </row>
    <row r="26" spans="2:17" x14ac:dyDescent="0.3">
      <c r="B26" s="35" t="s">
        <v>148</v>
      </c>
      <c r="C26" s="1" t="s">
        <v>115</v>
      </c>
      <c r="D26" s="37">
        <v>40</v>
      </c>
      <c r="E26" s="38">
        <f>[1]Foglio1!U24</f>
        <v>3</v>
      </c>
      <c r="F26" s="57">
        <f>[1]Foglio1!V24</f>
        <v>2.0999999999999996</v>
      </c>
      <c r="G26" s="2">
        <f t="shared" si="0"/>
        <v>83.999999999999986</v>
      </c>
      <c r="H26" s="37"/>
      <c r="J26" s="35" t="s">
        <v>22</v>
      </c>
      <c r="K26" s="1" t="s">
        <v>117</v>
      </c>
      <c r="L26" s="37">
        <v>8070474</v>
      </c>
      <c r="M26" s="38">
        <v>3.1339358772483501</v>
      </c>
      <c r="N26" s="38"/>
      <c r="O26" s="61">
        <v>2.1581976957735072</v>
      </c>
      <c r="P26" s="38"/>
      <c r="Q26" s="62"/>
    </row>
    <row r="27" spans="2:17" x14ac:dyDescent="0.3">
      <c r="B27" s="35" t="s">
        <v>149</v>
      </c>
      <c r="C27" s="1" t="s">
        <v>115</v>
      </c>
      <c r="D27" s="37">
        <v>11.82</v>
      </c>
      <c r="E27" s="38">
        <f>[1]Foglio1!U25</f>
        <v>12.982910321489001</v>
      </c>
      <c r="F27" s="57">
        <f>[1]Foglio1!V25</f>
        <v>9.0880372250423012</v>
      </c>
      <c r="G27" s="2">
        <f t="shared" si="0"/>
        <v>107.42060000000001</v>
      </c>
      <c r="H27" s="37"/>
      <c r="J27" s="35" t="s">
        <v>23</v>
      </c>
      <c r="K27" s="1" t="s">
        <v>117</v>
      </c>
      <c r="L27" s="37">
        <v>205850</v>
      </c>
      <c r="M27" s="99">
        <f>N27*'CE 21-22'!$M$13</f>
        <v>2.6884649639082481</v>
      </c>
      <c r="N27" s="38">
        <v>3.1455040077726499</v>
      </c>
      <c r="O27" s="61">
        <v>2.1592931114889486</v>
      </c>
      <c r="P27" s="38"/>
      <c r="Q27" s="62"/>
    </row>
    <row r="28" spans="2:17" x14ac:dyDescent="0.3">
      <c r="B28" s="35" t="s">
        <v>14</v>
      </c>
      <c r="C28" s="1" t="s">
        <v>116</v>
      </c>
      <c r="D28" s="37">
        <v>1925163</v>
      </c>
      <c r="E28" s="38">
        <f>[1]Foglio1!U26</f>
        <v>7.7960603855361868E-2</v>
      </c>
      <c r="F28" s="57">
        <f>[1]Foglio1!V26</f>
        <v>0.38787648456780016</v>
      </c>
      <c r="G28" s="2">
        <f t="shared" si="0"/>
        <v>746725.45665999991</v>
      </c>
      <c r="H28" s="37"/>
      <c r="J28" s="35" t="s">
        <v>24</v>
      </c>
      <c r="K28" s="1" t="s">
        <v>117</v>
      </c>
      <c r="L28" s="37">
        <v>3233156</v>
      </c>
      <c r="M28" s="99">
        <f>N28*'CE 21-22'!$M$13</f>
        <v>2.761472347418092</v>
      </c>
      <c r="N28" s="38">
        <v>3.2309226464791676</v>
      </c>
      <c r="O28" s="61">
        <v>2.2976852023348089</v>
      </c>
      <c r="P28" s="38"/>
      <c r="Q28" s="62"/>
    </row>
    <row r="29" spans="2:17" x14ac:dyDescent="0.3">
      <c r="B29" s="35" t="s">
        <v>15</v>
      </c>
      <c r="C29" s="1" t="s">
        <v>116</v>
      </c>
      <c r="D29" s="37">
        <v>258660</v>
      </c>
      <c r="E29" s="38">
        <f>[1]Foglio1!U27</f>
        <v>0.67441660867548137</v>
      </c>
      <c r="F29" s="57">
        <f>[1]Foglio1!V27</f>
        <v>0.48366639526791927</v>
      </c>
      <c r="G29" s="2">
        <f t="shared" si="0"/>
        <v>125105.1498</v>
      </c>
      <c r="H29" s="37"/>
      <c r="J29" s="35" t="s">
        <v>25</v>
      </c>
      <c r="K29" s="1" t="s">
        <v>117</v>
      </c>
      <c r="L29" s="37">
        <v>660340</v>
      </c>
      <c r="M29" s="38">
        <v>0.96042054093345852</v>
      </c>
      <c r="N29" s="38"/>
      <c r="O29" s="61">
        <v>0.7356204767241119</v>
      </c>
      <c r="P29" s="38"/>
      <c r="Q29" s="62"/>
    </row>
    <row r="30" spans="2:17" x14ac:dyDescent="0.3">
      <c r="B30" s="35" t="s">
        <v>16</v>
      </c>
      <c r="C30" s="1" t="s">
        <v>116</v>
      </c>
      <c r="D30" s="37">
        <v>765278</v>
      </c>
      <c r="E30" s="38">
        <f>[1]Foglio1!U28</f>
        <v>1.5633914368373318</v>
      </c>
      <c r="F30" s="57">
        <f>[1]Foglio1!V28</f>
        <v>0.97575993522615323</v>
      </c>
      <c r="G30" s="2">
        <f t="shared" si="0"/>
        <v>746727.61171000008</v>
      </c>
      <c r="H30" s="37"/>
      <c r="J30" s="35" t="s">
        <v>26</v>
      </c>
      <c r="K30" s="1" t="s">
        <v>117</v>
      </c>
      <c r="L30" s="37">
        <v>509668</v>
      </c>
      <c r="M30" s="38">
        <v>1.4659810896505177</v>
      </c>
      <c r="N30" s="38"/>
      <c r="O30" s="61">
        <v>1.1399042383473164</v>
      </c>
      <c r="P30" s="38"/>
      <c r="Q30" s="62"/>
    </row>
    <row r="31" spans="2:17" x14ac:dyDescent="0.3">
      <c r="B31" s="35" t="s">
        <v>17</v>
      </c>
      <c r="C31" s="1" t="s">
        <v>116</v>
      </c>
      <c r="D31" s="37">
        <v>209170</v>
      </c>
      <c r="E31" s="38">
        <f>[1]Foglio1!U29</f>
        <v>1.6736903475641822</v>
      </c>
      <c r="F31" s="57">
        <f>[1]Foglio1!V29</f>
        <v>1.3705060945642298</v>
      </c>
      <c r="G31" s="2">
        <f t="shared" si="0"/>
        <v>286668.75979999994</v>
      </c>
      <c r="H31" s="37"/>
      <c r="J31" s="35" t="s">
        <v>27</v>
      </c>
      <c r="K31" s="1" t="s">
        <v>117</v>
      </c>
      <c r="L31" s="37">
        <v>2539984</v>
      </c>
      <c r="M31" s="38">
        <v>1.5574062198816996</v>
      </c>
      <c r="N31" s="38"/>
      <c r="O31" s="61">
        <v>1.190501486698341</v>
      </c>
      <c r="P31" s="38"/>
      <c r="Q31" s="62"/>
    </row>
    <row r="32" spans="2:17" x14ac:dyDescent="0.3">
      <c r="B32" s="35" t="s">
        <v>18</v>
      </c>
      <c r="C32" s="1" t="s">
        <v>116</v>
      </c>
      <c r="D32" s="37">
        <v>65440</v>
      </c>
      <c r="E32" s="38">
        <f>[1]Foglio1!U30</f>
        <v>0.1</v>
      </c>
      <c r="F32" s="57">
        <f>[1]Foglio1!V30</f>
        <v>0</v>
      </c>
      <c r="G32" s="2">
        <f t="shared" si="0"/>
        <v>0</v>
      </c>
      <c r="H32" s="37"/>
      <c r="J32" s="35" t="s">
        <v>28</v>
      </c>
      <c r="K32" s="1" t="s">
        <v>117</v>
      </c>
      <c r="L32" s="37">
        <v>879638</v>
      </c>
      <c r="M32" s="38">
        <v>1.5255310138943521</v>
      </c>
      <c r="N32" s="38"/>
      <c r="O32" s="61">
        <v>1.159534770973969</v>
      </c>
      <c r="P32" s="38"/>
      <c r="Q32" s="62"/>
    </row>
    <row r="33" spans="2:17" x14ac:dyDescent="0.3">
      <c r="B33" s="35" t="s">
        <v>19</v>
      </c>
      <c r="C33" s="1" t="s">
        <v>117</v>
      </c>
      <c r="D33" s="37">
        <v>15137</v>
      </c>
      <c r="E33" s="38">
        <f>[1]Foglio1!U31</f>
        <v>0.95151747373984275</v>
      </c>
      <c r="F33" s="57">
        <f>[1]Foglio1!V31</f>
        <v>0</v>
      </c>
      <c r="G33" s="2">
        <f t="shared" si="0"/>
        <v>0</v>
      </c>
      <c r="H33" s="37"/>
      <c r="J33" s="35" t="s">
        <v>29</v>
      </c>
      <c r="K33" s="1" t="s">
        <v>117</v>
      </c>
      <c r="L33" s="37">
        <v>579689</v>
      </c>
      <c r="M33" s="38">
        <v>1.5588271124689272</v>
      </c>
      <c r="N33" s="38"/>
      <c r="O33" s="61">
        <v>1.1870107720346599</v>
      </c>
      <c r="P33" s="38"/>
      <c r="Q33" s="62"/>
    </row>
    <row r="34" spans="2:17" x14ac:dyDescent="0.3">
      <c r="B34" s="35" t="s">
        <v>20</v>
      </c>
      <c r="C34" s="1" t="s">
        <v>117</v>
      </c>
      <c r="D34" s="37">
        <v>2654859</v>
      </c>
      <c r="E34" s="38">
        <f>[1]Foglio1!U32</f>
        <v>2.0941639085164221</v>
      </c>
      <c r="F34" s="57">
        <v>1.58</v>
      </c>
      <c r="G34" s="2">
        <f t="shared" si="0"/>
        <v>4194677.22</v>
      </c>
      <c r="H34" s="37"/>
      <c r="J34" s="35" t="s">
        <v>30</v>
      </c>
      <c r="K34" s="1" t="s">
        <v>117</v>
      </c>
      <c r="L34" s="37">
        <v>448105</v>
      </c>
      <c r="M34" s="38">
        <v>1.4237468896798742</v>
      </c>
      <c r="N34" s="38"/>
      <c r="O34" s="61">
        <v>1.1223359093292866</v>
      </c>
      <c r="P34" s="38"/>
      <c r="Q34" s="62"/>
    </row>
    <row r="35" spans="2:17" x14ac:dyDescent="0.3">
      <c r="B35" s="35" t="s">
        <v>21</v>
      </c>
      <c r="C35" s="1" t="s">
        <v>117</v>
      </c>
      <c r="D35" s="37">
        <v>326700</v>
      </c>
      <c r="E35" s="38">
        <f>[1]Foglio1!U33</f>
        <v>2.2182920110192836</v>
      </c>
      <c r="F35" s="57">
        <f>[1]Foglio1!V33</f>
        <v>1.5527802479338846</v>
      </c>
      <c r="G35" s="2">
        <f t="shared" si="0"/>
        <v>507293.30700000009</v>
      </c>
      <c r="H35" s="37"/>
      <c r="J35" s="35" t="s">
        <v>31</v>
      </c>
      <c r="K35" s="1" t="s">
        <v>117</v>
      </c>
      <c r="L35" s="37">
        <v>130100</v>
      </c>
      <c r="M35" s="38">
        <v>1.9231706379707918</v>
      </c>
      <c r="N35" s="38"/>
      <c r="O35" s="61">
        <v>1.2489680491929285</v>
      </c>
      <c r="P35" s="38"/>
      <c r="Q35" s="62"/>
    </row>
    <row r="36" spans="2:17" x14ac:dyDescent="0.3">
      <c r="B36" s="35" t="s">
        <v>22</v>
      </c>
      <c r="C36" s="1" t="s">
        <v>117</v>
      </c>
      <c r="D36" s="37">
        <v>1189375</v>
      </c>
      <c r="E36" s="38">
        <f>[1]Foglio1!U34</f>
        <v>2.1110997372569629</v>
      </c>
      <c r="F36" s="57">
        <f>[1]Foglio1!V34</f>
        <v>1.5542673597477665</v>
      </c>
      <c r="G36" s="2">
        <f t="shared" si="0"/>
        <v>1848606.7409999999</v>
      </c>
      <c r="H36" s="37"/>
      <c r="J36" s="35" t="s">
        <v>32</v>
      </c>
      <c r="K36" s="1" t="s">
        <v>117</v>
      </c>
      <c r="L36" s="37">
        <v>13340</v>
      </c>
      <c r="M36" s="38">
        <v>1.1880509745127437</v>
      </c>
      <c r="N36" s="38"/>
      <c r="O36" s="61">
        <v>0.55081494752623683</v>
      </c>
      <c r="P36" s="38"/>
      <c r="Q36" s="62"/>
    </row>
    <row r="37" spans="2:17" x14ac:dyDescent="0.3">
      <c r="B37" s="35" t="s">
        <v>23</v>
      </c>
      <c r="C37" s="1" t="s">
        <v>117</v>
      </c>
      <c r="D37" s="37">
        <v>9796075</v>
      </c>
      <c r="E37" s="38">
        <f>[1]Foglio1!U35</f>
        <v>2.1683789936275497</v>
      </c>
      <c r="F37" s="57">
        <v>1.5</v>
      </c>
      <c r="G37" s="2">
        <f t="shared" si="0"/>
        <v>14694112.5</v>
      </c>
      <c r="H37" s="37"/>
      <c r="J37" s="35" t="s">
        <v>33</v>
      </c>
      <c r="K37" s="1" t="s">
        <v>117</v>
      </c>
      <c r="L37" s="37">
        <v>81820</v>
      </c>
      <c r="M37" s="38">
        <v>1.6966731850403327</v>
      </c>
      <c r="N37" s="38"/>
      <c r="O37" s="61">
        <v>1.2888624835003668</v>
      </c>
      <c r="P37" s="38"/>
      <c r="Q37" s="62"/>
    </row>
    <row r="38" spans="2:17" x14ac:dyDescent="0.3">
      <c r="B38" s="35" t="s">
        <v>24</v>
      </c>
      <c r="C38" s="1" t="s">
        <v>117</v>
      </c>
      <c r="D38" s="37">
        <v>251400</v>
      </c>
      <c r="E38" s="38">
        <f>[1]Foglio1!U36</f>
        <v>2.4447673031026254</v>
      </c>
      <c r="F38" s="57">
        <f>[1]Foglio1!V36</f>
        <v>1.6734552903739062</v>
      </c>
      <c r="G38" s="2">
        <f t="shared" si="0"/>
        <v>420706.66000000003</v>
      </c>
      <c r="H38" s="37"/>
      <c r="J38" s="35" t="s">
        <v>34</v>
      </c>
      <c r="K38" s="1" t="s">
        <v>117</v>
      </c>
      <c r="L38" s="37">
        <v>21040</v>
      </c>
      <c r="M38" s="38">
        <v>1.6010133079847908</v>
      </c>
      <c r="N38" s="38"/>
      <c r="O38" s="61">
        <v>1.3689428422053231</v>
      </c>
      <c r="P38" s="38"/>
      <c r="Q38" s="62"/>
    </row>
    <row r="39" spans="2:17" x14ac:dyDescent="0.3">
      <c r="B39" s="35" t="s">
        <v>25</v>
      </c>
      <c r="C39" s="1" t="s">
        <v>117</v>
      </c>
      <c r="D39" s="37">
        <v>3850300</v>
      </c>
      <c r="E39" s="38">
        <f>[1]Foglio1!U37</f>
        <v>2.1755305430745655</v>
      </c>
      <c r="F39" s="57">
        <v>1.5</v>
      </c>
      <c r="G39" s="2">
        <f t="shared" si="0"/>
        <v>5775450</v>
      </c>
      <c r="H39" s="37"/>
      <c r="J39" s="35" t="s">
        <v>35</v>
      </c>
      <c r="K39" s="1" t="s">
        <v>117</v>
      </c>
      <c r="L39" s="37">
        <v>14625</v>
      </c>
      <c r="M39" s="38">
        <v>1.6058974358974358</v>
      </c>
      <c r="N39" s="38"/>
      <c r="O39" s="61">
        <v>1.2319166666666668</v>
      </c>
      <c r="P39" s="38"/>
      <c r="Q39" s="62"/>
    </row>
    <row r="40" spans="2:17" x14ac:dyDescent="0.3">
      <c r="B40" s="35" t="s">
        <v>150</v>
      </c>
      <c r="C40" s="1" t="s">
        <v>117</v>
      </c>
      <c r="D40" s="37">
        <v>558900</v>
      </c>
      <c r="E40" s="38">
        <f>[1]Foglio1!U38</f>
        <v>0.72040658436213989</v>
      </c>
      <c r="F40" s="57">
        <f>[1]Foglio1!V38</f>
        <v>0.54555471354446228</v>
      </c>
      <c r="G40" s="2">
        <f t="shared" si="0"/>
        <v>304910.52939999994</v>
      </c>
      <c r="H40" s="37"/>
      <c r="J40" s="35" t="s">
        <v>36</v>
      </c>
      <c r="K40" s="1" t="s">
        <v>117</v>
      </c>
      <c r="L40" s="37">
        <v>307868</v>
      </c>
      <c r="M40" s="99">
        <f>N40*'CE 21-22'!$M$13</f>
        <v>0.90408698855175917</v>
      </c>
      <c r="N40" s="38">
        <v>1.0577817766055582</v>
      </c>
      <c r="O40" s="61">
        <v>0.75997644847791901</v>
      </c>
      <c r="P40" s="38"/>
      <c r="Q40" s="62"/>
    </row>
    <row r="41" spans="2:17" x14ac:dyDescent="0.3">
      <c r="B41" s="35" t="s">
        <v>26</v>
      </c>
      <c r="C41" s="1" t="s">
        <v>117</v>
      </c>
      <c r="D41" s="37">
        <v>536830</v>
      </c>
      <c r="E41" s="38">
        <f>[1]Foglio1!U39</f>
        <v>1.2394066091686382</v>
      </c>
      <c r="F41" s="57">
        <f>[1]Foglio1!V39</f>
        <v>0.91844443287446687</v>
      </c>
      <c r="G41" s="2">
        <f t="shared" si="0"/>
        <v>493048.52490000002</v>
      </c>
      <c r="H41" s="37"/>
      <c r="J41" s="35" t="s">
        <v>37</v>
      </c>
      <c r="K41" s="1" t="s">
        <v>117</v>
      </c>
      <c r="L41" s="37">
        <v>7000</v>
      </c>
      <c r="M41" s="99">
        <f>N41*'CE 21-22'!$M$13</f>
        <v>1.1868131868131868</v>
      </c>
      <c r="N41" s="38">
        <v>1.3885714285714286</v>
      </c>
      <c r="O41" s="61">
        <v>1.1206985714285713</v>
      </c>
      <c r="P41" s="38"/>
      <c r="Q41" s="62"/>
    </row>
    <row r="42" spans="2:17" x14ac:dyDescent="0.3">
      <c r="B42" s="35" t="s">
        <v>27</v>
      </c>
      <c r="C42" s="1" t="s">
        <v>117</v>
      </c>
      <c r="D42" s="37">
        <v>2351569</v>
      </c>
      <c r="E42" s="38">
        <f>[1]Foglio1!U40</f>
        <v>1.3500108906011263</v>
      </c>
      <c r="F42" s="57">
        <v>0.9</v>
      </c>
      <c r="G42" s="2">
        <f t="shared" si="0"/>
        <v>2116412.1</v>
      </c>
      <c r="H42" s="37"/>
      <c r="J42" s="35" t="s">
        <v>38</v>
      </c>
      <c r="K42" s="1" t="s">
        <v>117</v>
      </c>
      <c r="L42" s="37">
        <v>850145</v>
      </c>
      <c r="M42" s="99">
        <f>N42*'CE 21-22'!$M$13</f>
        <v>1.0863409575229324</v>
      </c>
      <c r="N42" s="38">
        <v>1.2710189203018307</v>
      </c>
      <c r="O42" s="61">
        <v>0.99127780878556027</v>
      </c>
      <c r="P42" s="38"/>
      <c r="Q42" s="62"/>
    </row>
    <row r="43" spans="2:17" x14ac:dyDescent="0.3">
      <c r="B43" s="35" t="s">
        <v>28</v>
      </c>
      <c r="C43" s="1" t="s">
        <v>117</v>
      </c>
      <c r="D43" s="37">
        <v>797082</v>
      </c>
      <c r="E43" s="38">
        <f>[1]Foglio1!U41</f>
        <v>1.1953137569283963</v>
      </c>
      <c r="F43" s="57">
        <f>[1]Foglio1!V41</f>
        <v>0.89400994847456083</v>
      </c>
      <c r="G43" s="2">
        <f t="shared" si="0"/>
        <v>712599.23774999985</v>
      </c>
      <c r="H43" s="37"/>
      <c r="J43" s="35" t="s">
        <v>39</v>
      </c>
      <c r="K43" s="1" t="s">
        <v>117</v>
      </c>
      <c r="L43" s="37">
        <v>40480</v>
      </c>
      <c r="M43" s="99">
        <f>N43*'CE 21-22'!$M$13</f>
        <v>1.0868235025843722</v>
      </c>
      <c r="N43" s="38">
        <v>1.2715834980237153</v>
      </c>
      <c r="O43" s="61">
        <v>0.96538828063241089</v>
      </c>
      <c r="P43" s="38"/>
      <c r="Q43" s="62"/>
    </row>
    <row r="44" spans="2:17" x14ac:dyDescent="0.3">
      <c r="B44" s="35" t="s">
        <v>29</v>
      </c>
      <c r="C44" s="1" t="s">
        <v>117</v>
      </c>
      <c r="D44" s="37">
        <v>917025</v>
      </c>
      <c r="E44" s="38">
        <f>[1]Foglio1!U42</f>
        <v>1.0664157465717947</v>
      </c>
      <c r="F44" s="57">
        <f>[1]Foglio1!V42</f>
        <v>0.78402539985278485</v>
      </c>
      <c r="G44" s="2">
        <f t="shared" si="0"/>
        <v>718970.89230000007</v>
      </c>
      <c r="H44" s="37"/>
      <c r="J44" s="35" t="s">
        <v>40</v>
      </c>
      <c r="K44" s="1" t="s">
        <v>117</v>
      </c>
      <c r="L44" s="37">
        <v>30000</v>
      </c>
      <c r="M44" s="38">
        <v>2.1413333333333333</v>
      </c>
      <c r="N44" s="38"/>
      <c r="O44" s="61">
        <v>1.6941680000000001</v>
      </c>
      <c r="P44" s="38"/>
      <c r="Q44" s="62"/>
    </row>
    <row r="45" spans="2:17" x14ac:dyDescent="0.3">
      <c r="B45" s="35" t="s">
        <v>30</v>
      </c>
      <c r="C45" s="1" t="s">
        <v>117</v>
      </c>
      <c r="D45" s="37">
        <v>613690</v>
      </c>
      <c r="E45" s="38">
        <f>[1]Foglio1!U43</f>
        <v>1.0917239485733838</v>
      </c>
      <c r="F45" s="57">
        <f>[1]Foglio1!V43</f>
        <v>0.85086392559761459</v>
      </c>
      <c r="G45" s="2">
        <f t="shared" si="0"/>
        <v>522166.68250000011</v>
      </c>
      <c r="H45" s="37"/>
      <c r="J45" s="35" t="s">
        <v>41</v>
      </c>
      <c r="K45" s="1" t="s">
        <v>117</v>
      </c>
      <c r="L45" s="37">
        <v>16500</v>
      </c>
      <c r="M45" s="38">
        <v>1.2007575757575757</v>
      </c>
      <c r="N45" s="38"/>
      <c r="O45" s="61">
        <v>0.9244603787878789</v>
      </c>
      <c r="P45" s="38"/>
      <c r="Q45" s="62"/>
    </row>
    <row r="46" spans="2:17" x14ac:dyDescent="0.3">
      <c r="B46" s="35" t="s">
        <v>31</v>
      </c>
      <c r="C46" s="1" t="s">
        <v>117</v>
      </c>
      <c r="D46" s="37">
        <v>143085</v>
      </c>
      <c r="E46" s="38">
        <f>[1]Foglio1!U44</f>
        <v>1.5032278016563581</v>
      </c>
      <c r="F46" s="57">
        <f>[1]Foglio1!V44</f>
        <v>0.80808670859978349</v>
      </c>
      <c r="G46" s="2">
        <f t="shared" si="0"/>
        <v>115625.08670000001</v>
      </c>
      <c r="H46" s="37"/>
      <c r="J46" s="35" t="s">
        <v>42</v>
      </c>
      <c r="K46" s="1" t="s">
        <v>117</v>
      </c>
      <c r="L46" s="37">
        <v>94290</v>
      </c>
      <c r="M46" s="38">
        <v>1.2885862763813767</v>
      </c>
      <c r="N46" s="38"/>
      <c r="O46" s="61">
        <v>0</v>
      </c>
      <c r="P46" s="38"/>
      <c r="Q46" s="62"/>
    </row>
    <row r="47" spans="2:17" x14ac:dyDescent="0.3">
      <c r="B47" s="35" t="s">
        <v>32</v>
      </c>
      <c r="C47" s="1" t="s">
        <v>117</v>
      </c>
      <c r="D47" s="37">
        <v>3675</v>
      </c>
      <c r="E47" s="38">
        <f>[1]Foglio1!U45</f>
        <v>0.81786394557823128</v>
      </c>
      <c r="F47" s="57">
        <f>[1]Foglio1!V45</f>
        <v>0.51070224489795923</v>
      </c>
      <c r="G47" s="2">
        <f t="shared" si="0"/>
        <v>1876.8307500000001</v>
      </c>
      <c r="H47" s="37"/>
      <c r="J47" s="35" t="s">
        <v>43</v>
      </c>
      <c r="K47" s="1" t="s">
        <v>117</v>
      </c>
      <c r="L47" s="37">
        <v>151620</v>
      </c>
      <c r="M47" s="38">
        <v>1.7877720617332806</v>
      </c>
      <c r="N47" s="38"/>
      <c r="O47" s="61">
        <v>1.5182724627357869</v>
      </c>
      <c r="P47" s="38"/>
      <c r="Q47" s="62"/>
    </row>
    <row r="48" spans="2:17" x14ac:dyDescent="0.3">
      <c r="B48" s="35" t="s">
        <v>33</v>
      </c>
      <c r="C48" s="1" t="s">
        <v>117</v>
      </c>
      <c r="D48" s="37">
        <v>222160</v>
      </c>
      <c r="E48" s="38">
        <f>[1]Foglio1!U46</f>
        <v>1.2292548613611811</v>
      </c>
      <c r="F48" s="57">
        <f>[1]Foglio1!V46</f>
        <v>0.92105041861721271</v>
      </c>
      <c r="G48" s="2">
        <f t="shared" si="0"/>
        <v>204620.56099999999</v>
      </c>
      <c r="H48" s="37"/>
      <c r="J48" s="35" t="s">
        <v>44</v>
      </c>
      <c r="K48" s="1" t="s">
        <v>117</v>
      </c>
      <c r="L48" s="37">
        <v>411979</v>
      </c>
      <c r="M48" s="38">
        <v>1.8322972695210196</v>
      </c>
      <c r="N48" s="38"/>
      <c r="O48" s="61">
        <v>1.4404786492029935</v>
      </c>
      <c r="P48" s="38"/>
      <c r="Q48" s="62"/>
    </row>
    <row r="49" spans="2:17" x14ac:dyDescent="0.3">
      <c r="B49" s="35" t="s">
        <v>34</v>
      </c>
      <c r="C49" s="1" t="s">
        <v>117</v>
      </c>
      <c r="D49" s="37">
        <v>38160</v>
      </c>
      <c r="E49" s="38">
        <f>[1]Foglio1!U47</f>
        <v>1.3103522012578614</v>
      </c>
      <c r="F49" s="57">
        <f>[1]Foglio1!V47</f>
        <v>0.99331303459119502</v>
      </c>
      <c r="G49" s="2">
        <f t="shared" si="0"/>
        <v>37904.825400000002</v>
      </c>
      <c r="H49" s="37"/>
      <c r="J49" s="35" t="s">
        <v>45</v>
      </c>
      <c r="K49" s="1" t="s">
        <v>117</v>
      </c>
      <c r="L49" s="37">
        <v>1362839</v>
      </c>
      <c r="M49" s="99">
        <f>N49*'CE 21-22'!$M$13</f>
        <v>1.423482665456222</v>
      </c>
      <c r="N49" s="38">
        <v>1.6654747185837797</v>
      </c>
      <c r="O49" s="61">
        <v>1.3105806561670159</v>
      </c>
      <c r="P49" s="38"/>
      <c r="Q49" s="62"/>
    </row>
    <row r="50" spans="2:17" x14ac:dyDescent="0.3">
      <c r="B50" s="35" t="s">
        <v>35</v>
      </c>
      <c r="C50" s="1" t="s">
        <v>117</v>
      </c>
      <c r="D50" s="37">
        <v>30885</v>
      </c>
      <c r="E50" s="38">
        <f>[1]Foglio1!U48</f>
        <v>1.3809778209486805</v>
      </c>
      <c r="F50" s="57">
        <f>[1]Foglio1!V48</f>
        <v>1.0851020123037074</v>
      </c>
      <c r="G50" s="2">
        <f t="shared" si="0"/>
        <v>33513.375650000002</v>
      </c>
      <c r="H50" s="37"/>
      <c r="J50" s="35" t="s">
        <v>46</v>
      </c>
      <c r="K50" s="1" t="s">
        <v>117</v>
      </c>
      <c r="L50" s="37">
        <v>96425</v>
      </c>
      <c r="M50" s="99">
        <f>N50*'CE 21-22'!$M$13</f>
        <v>1.3552173980486142</v>
      </c>
      <c r="N50" s="38">
        <v>1.5856043557168784</v>
      </c>
      <c r="O50" s="61">
        <v>1.1837239694062742</v>
      </c>
      <c r="P50" s="38"/>
      <c r="Q50" s="62"/>
    </row>
    <row r="51" spans="2:17" x14ac:dyDescent="0.3">
      <c r="B51" s="35" t="s">
        <v>36</v>
      </c>
      <c r="C51" s="1" t="s">
        <v>117</v>
      </c>
      <c r="D51" s="37">
        <v>149758</v>
      </c>
      <c r="E51" s="38">
        <f>[1]Foglio1!U49</f>
        <v>0.7641895591554374</v>
      </c>
      <c r="F51" s="57">
        <f>[1]Foglio1!V49</f>
        <v>0.53960530242123961</v>
      </c>
      <c r="G51" s="2">
        <f t="shared" si="0"/>
        <v>80810.210879999999</v>
      </c>
      <c r="H51" s="37"/>
      <c r="J51" s="35" t="s">
        <v>47</v>
      </c>
      <c r="K51" s="1" t="s">
        <v>117</v>
      </c>
      <c r="L51" s="37">
        <v>61100</v>
      </c>
      <c r="M51" s="99">
        <f>N51*'CE 21-22'!$M$13</f>
        <v>1.479172996488872</v>
      </c>
      <c r="N51" s="38">
        <v>1.7306324058919802</v>
      </c>
      <c r="O51" s="61">
        <v>1.2825347995090015</v>
      </c>
      <c r="P51" s="38"/>
      <c r="Q51" s="62"/>
    </row>
    <row r="52" spans="2:17" x14ac:dyDescent="0.3">
      <c r="B52" s="35" t="s">
        <v>37</v>
      </c>
      <c r="C52" s="1" t="s">
        <v>117</v>
      </c>
      <c r="D52" s="37">
        <v>6000</v>
      </c>
      <c r="E52" s="38">
        <f>[1]Foglio1!U50</f>
        <v>1.2</v>
      </c>
      <c r="F52" s="57">
        <f>[1]Foglio1!V50</f>
        <v>0.87636999999999987</v>
      </c>
      <c r="G52" s="2">
        <f t="shared" si="0"/>
        <v>5258.2199999999993</v>
      </c>
      <c r="H52" s="37"/>
      <c r="J52" s="35" t="s">
        <v>48</v>
      </c>
      <c r="K52" s="1" t="s">
        <v>117</v>
      </c>
      <c r="L52" s="37">
        <v>2820458.99</v>
      </c>
      <c r="M52" s="38">
        <v>1.6397767269078427</v>
      </c>
      <c r="N52" s="38"/>
      <c r="O52" s="61">
        <v>1.2408623742745859</v>
      </c>
      <c r="P52" s="38"/>
      <c r="Q52" s="62"/>
    </row>
    <row r="53" spans="2:17" x14ac:dyDescent="0.3">
      <c r="B53" s="35" t="s">
        <v>38</v>
      </c>
      <c r="C53" s="1" t="s">
        <v>117</v>
      </c>
      <c r="D53" s="37">
        <v>8000</v>
      </c>
      <c r="E53" s="38">
        <f>[1]Foglio1!U51</f>
        <v>1.29</v>
      </c>
      <c r="F53" s="57">
        <f>[1]Foglio1!V51</f>
        <v>0.93520499999999995</v>
      </c>
      <c r="G53" s="2">
        <f t="shared" si="0"/>
        <v>7481.6399999999994</v>
      </c>
      <c r="H53" s="37"/>
      <c r="J53" s="35" t="s">
        <v>49</v>
      </c>
      <c r="K53" s="1" t="s">
        <v>117</v>
      </c>
      <c r="L53" s="37">
        <v>157263</v>
      </c>
      <c r="M53" s="38">
        <v>1.6271923465786613</v>
      </c>
      <c r="N53" s="38"/>
      <c r="O53" s="61">
        <v>1.1648880465207965</v>
      </c>
      <c r="P53" s="38"/>
      <c r="Q53" s="62"/>
    </row>
    <row r="54" spans="2:17" x14ac:dyDescent="0.3">
      <c r="B54" s="35" t="s">
        <v>39</v>
      </c>
      <c r="C54" s="1" t="s">
        <v>117</v>
      </c>
      <c r="D54" s="37">
        <v>778210</v>
      </c>
      <c r="E54" s="38">
        <f>[1]Foglio1!U52</f>
        <v>1.003604926690739</v>
      </c>
      <c r="F54" s="57">
        <f>[1]Foglio1!V52</f>
        <v>0.76742587476388102</v>
      </c>
      <c r="G54" s="2">
        <f t="shared" si="0"/>
        <v>597218.48999999987</v>
      </c>
      <c r="H54" s="37"/>
      <c r="J54" s="35" t="s">
        <v>50</v>
      </c>
      <c r="K54" s="1" t="s">
        <v>117</v>
      </c>
      <c r="L54" s="37">
        <v>261930</v>
      </c>
      <c r="M54" s="38">
        <v>1.5522070782270072</v>
      </c>
      <c r="N54" s="38"/>
      <c r="O54" s="61">
        <v>1.0346569554842897</v>
      </c>
      <c r="P54" s="38"/>
      <c r="Q54" s="62"/>
    </row>
    <row r="55" spans="2:17" x14ac:dyDescent="0.3">
      <c r="B55" s="35" t="s">
        <v>40</v>
      </c>
      <c r="C55" s="1" t="s">
        <v>117</v>
      </c>
      <c r="D55" s="37">
        <v>30220</v>
      </c>
      <c r="E55" s="38">
        <f>[1]Foglio1!U53</f>
        <v>1.1262508272667109</v>
      </c>
      <c r="F55" s="57">
        <f>[1]Foglio1!V53</f>
        <v>0.7731818067504963</v>
      </c>
      <c r="G55" s="2">
        <f t="shared" si="0"/>
        <v>23365.554199999999</v>
      </c>
      <c r="H55" s="37"/>
      <c r="J55" s="35" t="s">
        <v>51</v>
      </c>
      <c r="K55" s="1" t="s">
        <v>117</v>
      </c>
      <c r="L55" s="37">
        <v>500680</v>
      </c>
      <c r="M55" s="38">
        <v>1.2455093073420147</v>
      </c>
      <c r="N55" s="38"/>
      <c r="O55" s="61">
        <v>0.90018249700407449</v>
      </c>
      <c r="P55" s="38"/>
      <c r="Q55" s="62"/>
    </row>
    <row r="56" spans="2:17" x14ac:dyDescent="0.3">
      <c r="B56" s="35" t="s">
        <v>41</v>
      </c>
      <c r="C56" s="1" t="s">
        <v>117</v>
      </c>
      <c r="D56" s="37">
        <v>25000</v>
      </c>
      <c r="E56" s="38">
        <f>[1]Foglio1!U54</f>
        <v>1.1679999999999999</v>
      </c>
      <c r="F56" s="57">
        <f>[1]Foglio1!V54</f>
        <v>0.79481080000000004</v>
      </c>
      <c r="G56" s="2">
        <f t="shared" si="0"/>
        <v>19870.27</v>
      </c>
      <c r="H56" s="37"/>
      <c r="J56" s="35" t="s">
        <v>52</v>
      </c>
      <c r="K56" s="1" t="s">
        <v>117</v>
      </c>
      <c r="L56" s="37">
        <v>62569</v>
      </c>
      <c r="M56" s="38">
        <v>1.9325902603525706</v>
      </c>
      <c r="N56" s="38"/>
      <c r="O56" s="61">
        <v>1.3611319394588377</v>
      </c>
      <c r="P56" s="38"/>
      <c r="Q56" s="62"/>
    </row>
    <row r="57" spans="2:17" x14ac:dyDescent="0.3">
      <c r="B57" s="35" t="s">
        <v>151</v>
      </c>
      <c r="C57" s="1" t="s">
        <v>117</v>
      </c>
      <c r="D57" s="37">
        <v>41635</v>
      </c>
      <c r="E57" s="38">
        <f>[1]Foglio1!U55</f>
        <v>0.66185661102437854</v>
      </c>
      <c r="F57" s="57">
        <f>[1]Foglio1!V55</f>
        <v>0.41639553380569233</v>
      </c>
      <c r="G57" s="2">
        <f t="shared" si="0"/>
        <v>17336.628049999999</v>
      </c>
      <c r="H57" s="37"/>
      <c r="J57" s="35" t="s">
        <v>53</v>
      </c>
      <c r="K57" s="1" t="s">
        <v>117</v>
      </c>
      <c r="L57" s="37">
        <v>927765</v>
      </c>
      <c r="M57" s="38">
        <v>2.009165683120187</v>
      </c>
      <c r="N57" s="38"/>
      <c r="O57" s="61">
        <v>1.404875675575173</v>
      </c>
      <c r="P57" s="38"/>
      <c r="Q57" s="62"/>
    </row>
    <row r="58" spans="2:17" x14ac:dyDescent="0.3">
      <c r="B58" s="35" t="s">
        <v>42</v>
      </c>
      <c r="C58" s="1" t="s">
        <v>117</v>
      </c>
      <c r="D58" s="37">
        <v>51505</v>
      </c>
      <c r="E58" s="38">
        <f>[1]Foglio1!U56</f>
        <v>1.5481564896611979</v>
      </c>
      <c r="F58" s="57">
        <f>[1]Foglio1!V56</f>
        <v>0</v>
      </c>
      <c r="G58" s="2">
        <f t="shared" si="0"/>
        <v>0</v>
      </c>
      <c r="H58" s="37"/>
      <c r="J58" s="35" t="s">
        <v>54</v>
      </c>
      <c r="K58" s="1" t="s">
        <v>117</v>
      </c>
      <c r="L58" s="37">
        <v>129425</v>
      </c>
      <c r="M58" s="38">
        <v>1.6307046552057176</v>
      </c>
      <c r="N58" s="38"/>
      <c r="O58" s="61">
        <v>1.1999951095228896</v>
      </c>
      <c r="P58" s="38"/>
      <c r="Q58" s="62"/>
    </row>
    <row r="59" spans="2:17" x14ac:dyDescent="0.3">
      <c r="B59" s="35" t="s">
        <v>43</v>
      </c>
      <c r="C59" s="1" t="s">
        <v>117</v>
      </c>
      <c r="D59" s="37">
        <v>195860</v>
      </c>
      <c r="E59" s="38">
        <f>[1]Foglio1!U57</f>
        <v>1.0145297661595016</v>
      </c>
      <c r="F59" s="57">
        <f>[1]Foglio1!V57</f>
        <v>1.3210750056162566</v>
      </c>
      <c r="G59" s="2">
        <f t="shared" si="0"/>
        <v>258745.7506</v>
      </c>
      <c r="H59" s="37"/>
      <c r="J59" s="35" t="s">
        <v>55</v>
      </c>
      <c r="K59" s="1" t="s">
        <v>117</v>
      </c>
      <c r="L59" s="37">
        <v>131955</v>
      </c>
      <c r="M59" s="38">
        <v>1.9791817665113107</v>
      </c>
      <c r="N59" s="38"/>
      <c r="O59" s="61">
        <v>1.370090544124891</v>
      </c>
      <c r="P59" s="38"/>
      <c r="Q59" s="62"/>
    </row>
    <row r="60" spans="2:17" x14ac:dyDescent="0.3">
      <c r="B60" s="35" t="s">
        <v>44</v>
      </c>
      <c r="C60" s="1" t="s">
        <v>117</v>
      </c>
      <c r="D60" s="37">
        <v>648920</v>
      </c>
      <c r="E60" s="38">
        <f>[1]Foglio1!U58</f>
        <v>1.5966125451519446</v>
      </c>
      <c r="F60" s="57">
        <f>[1]Foglio1!V58</f>
        <v>1.2557294418418297</v>
      </c>
      <c r="G60" s="2">
        <f t="shared" si="0"/>
        <v>814867.94940000016</v>
      </c>
      <c r="H60" s="37"/>
      <c r="J60" s="35" t="s">
        <v>56</v>
      </c>
      <c r="K60" s="1" t="s">
        <v>117</v>
      </c>
      <c r="L60" s="37">
        <v>375075</v>
      </c>
      <c r="M60" s="38">
        <v>1.7865580217289871</v>
      </c>
      <c r="N60" s="38"/>
      <c r="O60" s="61">
        <v>1.2283678686929282</v>
      </c>
      <c r="P60" s="38"/>
      <c r="Q60" s="62"/>
    </row>
    <row r="61" spans="2:17" x14ac:dyDescent="0.3">
      <c r="B61" s="35" t="s">
        <v>45</v>
      </c>
      <c r="C61" s="1" t="s">
        <v>117</v>
      </c>
      <c r="D61" s="37">
        <v>1660455</v>
      </c>
      <c r="E61" s="38">
        <f>[1]Foglio1!U59</f>
        <v>1.1722768518267583</v>
      </c>
      <c r="F61" s="57">
        <f>[1]Foglio1!V59</f>
        <v>1.178349802915466</v>
      </c>
      <c r="G61" s="2">
        <f t="shared" si="0"/>
        <v>1956596.8220000002</v>
      </c>
      <c r="H61" s="37"/>
      <c r="J61" s="35" t="s">
        <v>57</v>
      </c>
      <c r="K61" s="1" t="s">
        <v>117</v>
      </c>
      <c r="L61" s="37">
        <v>151110</v>
      </c>
      <c r="M61" s="38">
        <v>1.6128909403745617</v>
      </c>
      <c r="N61" s="38"/>
      <c r="O61" s="61">
        <v>1.1950272698696316</v>
      </c>
      <c r="P61" s="38"/>
      <c r="Q61" s="62"/>
    </row>
    <row r="62" spans="2:17" x14ac:dyDescent="0.3">
      <c r="B62" s="35" t="s">
        <v>46</v>
      </c>
      <c r="C62" s="1" t="s">
        <v>117</v>
      </c>
      <c r="D62" s="37">
        <v>69185</v>
      </c>
      <c r="E62" s="38">
        <f>[1]Foglio1!U60</f>
        <v>1.3571836380718363</v>
      </c>
      <c r="F62" s="57">
        <f>[1]Foglio1!V60</f>
        <v>1.0956717511021177</v>
      </c>
      <c r="G62" s="2">
        <f t="shared" si="0"/>
        <v>75804.050100000008</v>
      </c>
      <c r="H62" s="37"/>
      <c r="J62" s="35" t="s">
        <v>58</v>
      </c>
      <c r="K62" s="1" t="s">
        <v>117</v>
      </c>
      <c r="L62" s="37">
        <v>240225</v>
      </c>
      <c r="M62" s="38">
        <v>1.9365259652409199</v>
      </c>
      <c r="N62" s="38"/>
      <c r="O62" s="61">
        <v>1.4175060813820379</v>
      </c>
      <c r="P62" s="38"/>
      <c r="Q62" s="62"/>
    </row>
    <row r="63" spans="2:17" x14ac:dyDescent="0.3">
      <c r="B63" s="35" t="s">
        <v>47</v>
      </c>
      <c r="C63" s="1" t="s">
        <v>117</v>
      </c>
      <c r="D63" s="37">
        <v>55475</v>
      </c>
      <c r="E63" s="38">
        <f>[1]Foglio1!U61</f>
        <v>1.6094114465975666</v>
      </c>
      <c r="F63" s="57">
        <f>[1]Foglio1!V61</f>
        <v>1.2580483884632718</v>
      </c>
      <c r="G63" s="2">
        <f t="shared" si="0"/>
        <v>69790.234349999999</v>
      </c>
      <c r="H63" s="37"/>
      <c r="J63" s="35" t="s">
        <v>59</v>
      </c>
      <c r="K63" s="1" t="s">
        <v>117</v>
      </c>
      <c r="L63" s="37">
        <v>392880</v>
      </c>
      <c r="M63" s="38">
        <v>1.0338126145387905</v>
      </c>
      <c r="N63" s="38"/>
      <c r="O63" s="61">
        <v>0.5436791535583384</v>
      </c>
      <c r="P63" s="38"/>
      <c r="Q63" s="62"/>
    </row>
    <row r="64" spans="2:17" x14ac:dyDescent="0.3">
      <c r="B64" s="35" t="s">
        <v>48</v>
      </c>
      <c r="C64" s="1" t="s">
        <v>117</v>
      </c>
      <c r="D64" s="37">
        <v>2000669</v>
      </c>
      <c r="E64" s="38">
        <f>[1]Foglio1!U62</f>
        <v>1.7370298635106558</v>
      </c>
      <c r="F64" s="57">
        <f>[1]Foglio1!V62</f>
        <v>1.2449452498939109</v>
      </c>
      <c r="G64" s="2">
        <f t="shared" si="0"/>
        <v>2490723.3681600005</v>
      </c>
      <c r="H64" s="37"/>
      <c r="J64" s="35" t="s">
        <v>60</v>
      </c>
      <c r="K64" s="1" t="s">
        <v>117</v>
      </c>
      <c r="L64" s="37">
        <v>1325620</v>
      </c>
      <c r="M64" s="38">
        <v>1.59928712602404</v>
      </c>
      <c r="N64" s="38"/>
      <c r="O64" s="61">
        <v>1.4112718684087449</v>
      </c>
      <c r="P64" s="38"/>
      <c r="Q64" s="62"/>
    </row>
    <row r="65" spans="2:17" x14ac:dyDescent="0.3">
      <c r="B65" s="35" t="s">
        <v>49</v>
      </c>
      <c r="C65" s="1" t="s">
        <v>117</v>
      </c>
      <c r="D65" s="37">
        <v>670980</v>
      </c>
      <c r="E65" s="38">
        <f>[1]Foglio1!U63</f>
        <v>1.6806898864347668</v>
      </c>
      <c r="F65" s="57">
        <f>[1]Foglio1!V63</f>
        <v>1.175671438641986</v>
      </c>
      <c r="G65" s="2">
        <f t="shared" si="0"/>
        <v>788852.0218999997</v>
      </c>
      <c r="H65" s="37"/>
      <c r="J65" s="35" t="s">
        <v>61</v>
      </c>
      <c r="K65" s="1" t="s">
        <v>118</v>
      </c>
      <c r="L65" s="37">
        <v>25000</v>
      </c>
      <c r="M65" s="37" t="s">
        <v>184</v>
      </c>
      <c r="N65" s="37"/>
      <c r="O65" s="37"/>
      <c r="P65" s="38"/>
      <c r="Q65" s="62"/>
    </row>
    <row r="66" spans="2:17" ht="15" thickBot="1" x14ac:dyDescent="0.35">
      <c r="B66" s="35" t="s">
        <v>50</v>
      </c>
      <c r="C66" s="1" t="s">
        <v>117</v>
      </c>
      <c r="D66" s="37">
        <v>637940</v>
      </c>
      <c r="E66" s="38">
        <f>[1]Foglio1!U64</f>
        <v>1.0545722952001755</v>
      </c>
      <c r="F66" s="57">
        <f>[1]Foglio1!V64</f>
        <v>0.8007143704737123</v>
      </c>
      <c r="G66" s="2">
        <f t="shared" si="0"/>
        <v>510807.7255</v>
      </c>
      <c r="H66" s="37"/>
      <c r="J66" s="39" t="s">
        <v>62</v>
      </c>
      <c r="K66" s="36" t="s">
        <v>118</v>
      </c>
      <c r="L66" s="40">
        <v>12</v>
      </c>
      <c r="M66" s="40">
        <v>18980.987499999999</v>
      </c>
      <c r="N66" s="40"/>
      <c r="O66" s="40"/>
      <c r="P66" s="53"/>
      <c r="Q66" s="63"/>
    </row>
    <row r="67" spans="2:17" x14ac:dyDescent="0.3">
      <c r="B67" s="35" t="s">
        <v>51</v>
      </c>
      <c r="C67" s="1" t="s">
        <v>117</v>
      </c>
      <c r="D67" s="37">
        <v>535830</v>
      </c>
      <c r="E67" s="38">
        <f>[1]Foglio1!U65</f>
        <v>1.0427329563480954</v>
      </c>
      <c r="F67" s="57">
        <f>[1]Foglio1!V65</f>
        <v>0.71860723513054503</v>
      </c>
      <c r="G67" s="2">
        <f t="shared" si="0"/>
        <v>385051.31479999993</v>
      </c>
      <c r="H67" s="37"/>
      <c r="J67" s="11"/>
      <c r="P67" s="60"/>
    </row>
    <row r="68" spans="2:17" x14ac:dyDescent="0.3">
      <c r="B68" s="35" t="s">
        <v>52</v>
      </c>
      <c r="C68" s="1" t="s">
        <v>117</v>
      </c>
      <c r="D68" s="37">
        <v>108745</v>
      </c>
      <c r="E68" s="38">
        <f>[1]Foglio1!U66</f>
        <v>1.9287213205204836</v>
      </c>
      <c r="F68" s="57">
        <f>[1]Foglio1!V66</f>
        <v>1.2761377805876131</v>
      </c>
      <c r="G68" s="2">
        <f t="shared" si="0"/>
        <v>138773.60294999997</v>
      </c>
      <c r="H68" s="37"/>
      <c r="P68" s="11"/>
      <c r="Q68" s="11"/>
    </row>
    <row r="69" spans="2:17" x14ac:dyDescent="0.3">
      <c r="B69" s="35" t="s">
        <v>53</v>
      </c>
      <c r="C69" s="1" t="s">
        <v>117</v>
      </c>
      <c r="D69" s="37">
        <v>939305</v>
      </c>
      <c r="E69" s="38">
        <f>[1]Foglio1!U67</f>
        <v>1.9086574648277184</v>
      </c>
      <c r="F69" s="57">
        <f>[1]Foglio1!V67</f>
        <v>1.3634690975242332</v>
      </c>
      <c r="G69" s="2">
        <f t="shared" ref="G69:G76" si="1">D69*F69</f>
        <v>1280713.3406499999</v>
      </c>
      <c r="H69" s="37"/>
      <c r="M69" s="88" t="s">
        <v>285</v>
      </c>
    </row>
    <row r="70" spans="2:17" x14ac:dyDescent="0.3">
      <c r="B70" s="35" t="s">
        <v>54</v>
      </c>
      <c r="C70" s="1" t="s">
        <v>117</v>
      </c>
      <c r="D70" s="37">
        <v>115930</v>
      </c>
      <c r="E70" s="38">
        <f>[1]Foglio1!U68</f>
        <v>1.4443107909945656</v>
      </c>
      <c r="F70" s="57">
        <f>[1]Foglio1!V68</f>
        <v>1.0710016958509445</v>
      </c>
      <c r="G70" s="2">
        <f t="shared" si="1"/>
        <v>124161.22659999999</v>
      </c>
      <c r="H70" s="37"/>
      <c r="M70" s="88">
        <f>6.5*0.01</f>
        <v>6.5000000000000002E-2</v>
      </c>
    </row>
    <row r="71" spans="2:17" x14ac:dyDescent="0.3">
      <c r="B71" s="35" t="s">
        <v>55</v>
      </c>
      <c r="C71" s="1" t="s">
        <v>117</v>
      </c>
      <c r="D71" s="37">
        <v>184065</v>
      </c>
      <c r="E71" s="38">
        <f>[1]Foglio1!U69</f>
        <v>1.9315133240974656</v>
      </c>
      <c r="F71" s="57">
        <f>[1]Foglio1!V69</f>
        <v>1.3418995368483959</v>
      </c>
      <c r="G71" s="2">
        <f t="shared" si="1"/>
        <v>246996.73824999999</v>
      </c>
      <c r="H71" s="37"/>
    </row>
    <row r="72" spans="2:17" x14ac:dyDescent="0.3">
      <c r="B72" s="35" t="s">
        <v>56</v>
      </c>
      <c r="C72" s="1" t="s">
        <v>117</v>
      </c>
      <c r="D72" s="37">
        <v>484964</v>
      </c>
      <c r="E72" s="38">
        <f>[1]Foglio1!U70</f>
        <v>1.5090489190950254</v>
      </c>
      <c r="F72" s="57">
        <f>[1]Foglio1!V70</f>
        <v>1.0507351288755455</v>
      </c>
      <c r="G72" s="2">
        <f t="shared" si="1"/>
        <v>509568.71104000008</v>
      </c>
      <c r="H72" s="37"/>
    </row>
    <row r="73" spans="2:17" x14ac:dyDescent="0.3">
      <c r="B73" s="35" t="s">
        <v>57</v>
      </c>
      <c r="C73" s="1" t="s">
        <v>117</v>
      </c>
      <c r="D73" s="37">
        <v>191590</v>
      </c>
      <c r="E73" s="38">
        <f>[1]Foglio1!U71</f>
        <v>1.5367824521112794</v>
      </c>
      <c r="F73" s="57">
        <f>[1]Foglio1!V71</f>
        <v>1.1575221321572104</v>
      </c>
      <c r="G73" s="2">
        <f t="shared" si="1"/>
        <v>221769.66529999996</v>
      </c>
      <c r="H73" s="37"/>
      <c r="I73" s="37"/>
    </row>
    <row r="74" spans="2:17" x14ac:dyDescent="0.3">
      <c r="B74" s="35" t="s">
        <v>58</v>
      </c>
      <c r="C74" s="1" t="s">
        <v>117</v>
      </c>
      <c r="D74" s="37">
        <v>160440</v>
      </c>
      <c r="E74" s="38">
        <f>[1]Foglio1!U72</f>
        <v>1.7941255297930692</v>
      </c>
      <c r="F74" s="57">
        <f>[1]Foglio1!V72</f>
        <v>1.2804120481176764</v>
      </c>
      <c r="G74" s="2">
        <f t="shared" si="1"/>
        <v>205429.30900000001</v>
      </c>
      <c r="H74" s="37"/>
    </row>
    <row r="75" spans="2:17" x14ac:dyDescent="0.3">
      <c r="B75" s="35" t="s">
        <v>59</v>
      </c>
      <c r="C75" s="1" t="s">
        <v>117</v>
      </c>
      <c r="D75" s="37">
        <v>229340</v>
      </c>
      <c r="E75" s="38">
        <f>[1]Foglio1!U73</f>
        <v>0.60202058079706988</v>
      </c>
      <c r="F75" s="57">
        <f>[1]Foglio1!V73</f>
        <v>0.3732310299119212</v>
      </c>
      <c r="G75" s="2">
        <f t="shared" si="1"/>
        <v>85596.804400000008</v>
      </c>
      <c r="H75" s="37"/>
      <c r="J75" s="11">
        <f>H76-'CE 21-22'!C5</f>
        <v>-14423853.505534992</v>
      </c>
    </row>
    <row r="76" spans="2:17" x14ac:dyDescent="0.3">
      <c r="B76" s="35" t="s">
        <v>60</v>
      </c>
      <c r="C76" s="1" t="s">
        <v>117</v>
      </c>
      <c r="D76" s="37">
        <v>786060</v>
      </c>
      <c r="E76" s="38">
        <f>[1]Foglio1!U74</f>
        <v>0.63365096811948207</v>
      </c>
      <c r="F76" s="57">
        <f>[1]Foglio1!V74</f>
        <v>1.2438429369259345</v>
      </c>
      <c r="G76" s="2">
        <f t="shared" si="1"/>
        <v>977735.17900000012</v>
      </c>
      <c r="H76" s="37">
        <f>SUM(G2:G76)</f>
        <v>46870805.517265007</v>
      </c>
      <c r="I76" s="11"/>
      <c r="P76"/>
      <c r="Q76"/>
    </row>
    <row r="77" spans="2:17" x14ac:dyDescent="0.3">
      <c r="B77" s="35" t="s">
        <v>61</v>
      </c>
      <c r="C77" s="1" t="s">
        <v>118</v>
      </c>
      <c r="D77" s="37">
        <v>14</v>
      </c>
      <c r="E77" s="37">
        <f>[1]Foglio1!U76</f>
        <v>697.35714285714289</v>
      </c>
      <c r="F77" s="57">
        <f>[1]Foglio1!V76</f>
        <v>0</v>
      </c>
      <c r="G77" s="2">
        <f>E77*D77</f>
        <v>9763</v>
      </c>
      <c r="H77" s="37">
        <f>H76-G78+G79-G77</f>
        <v>46918237.027265005</v>
      </c>
      <c r="I77" s="11"/>
      <c r="P77"/>
      <c r="Q77"/>
    </row>
    <row r="78" spans="2:17" x14ac:dyDescent="0.3">
      <c r="B78" s="35" t="s">
        <v>154</v>
      </c>
      <c r="C78" s="1" t="s">
        <v>118</v>
      </c>
      <c r="D78" s="37">
        <v>15</v>
      </c>
      <c r="E78" s="37">
        <f>[1]Foglio1!U77</f>
        <v>19834.952666666664</v>
      </c>
      <c r="F78" s="57">
        <f>[1]Foglio1!V77</f>
        <v>0</v>
      </c>
      <c r="G78" s="2">
        <f t="shared" ref="G78:G79" si="2">E78*D78</f>
        <v>297524.28999999998</v>
      </c>
      <c r="H78" s="37"/>
      <c r="P78"/>
      <c r="Q78"/>
    </row>
    <row r="79" spans="2:17" ht="15" thickBot="1" x14ac:dyDescent="0.35">
      <c r="B79" s="39" t="s">
        <v>63</v>
      </c>
      <c r="C79" s="36" t="s">
        <v>118</v>
      </c>
      <c r="D79" s="40">
        <v>49573</v>
      </c>
      <c r="E79" s="53">
        <f>[1]Foglio1!U78</f>
        <v>7.155483831924637</v>
      </c>
      <c r="F79" s="58">
        <f>[1]Foglio1!V78</f>
        <v>0</v>
      </c>
      <c r="G79" s="2">
        <f t="shared" si="2"/>
        <v>354718.80000000005</v>
      </c>
      <c r="H79" s="37"/>
      <c r="P79"/>
      <c r="Q79"/>
    </row>
    <row r="80" spans="2:17" x14ac:dyDescent="0.3">
      <c r="D80" s="1" t="s">
        <v>192</v>
      </c>
      <c r="E80" s="1" t="s">
        <v>193</v>
      </c>
      <c r="G80" s="2"/>
      <c r="H80" s="2"/>
    </row>
    <row r="81" spans="2:8" x14ac:dyDescent="0.3">
      <c r="B81" s="1" t="s">
        <v>152</v>
      </c>
      <c r="D81" s="88"/>
    </row>
    <row r="82" spans="2:8" x14ac:dyDescent="0.3">
      <c r="B82" s="1" t="s">
        <v>153</v>
      </c>
      <c r="H82" s="2"/>
    </row>
    <row r="83" spans="2:8" x14ac:dyDescent="0.3">
      <c r="B83" s="1" t="s">
        <v>155</v>
      </c>
      <c r="H83" s="2"/>
    </row>
    <row r="1048576" spans="16384:16384" x14ac:dyDescent="0.3">
      <c r="XFD1048576" s="91"/>
    </row>
  </sheetData>
  <mergeCells count="2">
    <mergeCell ref="B2:F2"/>
    <mergeCell ref="J2:Q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FA6D-2B43-44D4-9785-BA525C9ED11E}">
  <dimension ref="A1:L67"/>
  <sheetViews>
    <sheetView topLeftCell="A27" zoomScale="60" zoomScaleNormal="60" workbookViewId="0">
      <selection activeCell="G65" sqref="G65"/>
    </sheetView>
  </sheetViews>
  <sheetFormatPr defaultRowHeight="14.4" x14ac:dyDescent="0.3"/>
  <cols>
    <col min="2" max="2" width="18.77734375" bestFit="1" customWidth="1"/>
    <col min="3" max="3" width="10" customWidth="1"/>
    <col min="4" max="5" width="19.5546875" bestFit="1" customWidth="1"/>
    <col min="6" max="6" width="19.5546875" customWidth="1"/>
    <col min="7" max="7" width="16.44140625" bestFit="1" customWidth="1"/>
    <col min="8" max="8" width="8.44140625" bestFit="1" customWidth="1"/>
    <col min="9" max="9" width="38.5546875" bestFit="1" customWidth="1"/>
    <col min="11" max="11" width="33" customWidth="1"/>
    <col min="12" max="12" width="12.5546875" bestFit="1" customWidth="1"/>
  </cols>
  <sheetData>
    <row r="1" spans="1:9" x14ac:dyDescent="0.3">
      <c r="A1" s="96"/>
      <c r="B1" s="96"/>
      <c r="C1" s="96"/>
      <c r="D1" s="96"/>
      <c r="E1" s="96"/>
      <c r="F1" s="96"/>
      <c r="G1" s="96"/>
      <c r="H1" s="96"/>
      <c r="I1" s="96"/>
    </row>
    <row r="2" spans="1:9" x14ac:dyDescent="0.3">
      <c r="A2" s="96"/>
      <c r="B2" s="96" t="s">
        <v>110</v>
      </c>
      <c r="C2" s="96" t="s">
        <v>124</v>
      </c>
      <c r="D2" s="96" t="s">
        <v>195</v>
      </c>
      <c r="E2" s="96" t="s">
        <v>196</v>
      </c>
      <c r="F2" s="96" t="s">
        <v>286</v>
      </c>
      <c r="G2" s="96" t="s">
        <v>197</v>
      </c>
      <c r="H2" s="96" t="s">
        <v>203</v>
      </c>
      <c r="I2" s="96" t="s">
        <v>198</v>
      </c>
    </row>
    <row r="3" spans="1:9" x14ac:dyDescent="0.3">
      <c r="A3" s="96"/>
      <c r="B3" s="96" t="str">
        <f>Ricavi!J4</f>
        <v>MP1</v>
      </c>
      <c r="C3" s="96" t="str">
        <f>Ricavi!K4</f>
        <v>MP</v>
      </c>
      <c r="D3" s="96">
        <f>Ricavi!L4</f>
        <v>48000</v>
      </c>
      <c r="E3" s="96">
        <f>Ricavi!M4</f>
        <v>0.93</v>
      </c>
      <c r="F3" s="96">
        <f>Ricavi!O4</f>
        <v>0.59257692307692311</v>
      </c>
      <c r="G3" s="96">
        <f t="shared" ref="G3:G64" si="0">D3*E3</f>
        <v>44640</v>
      </c>
      <c r="H3" s="96" t="s">
        <v>115</v>
      </c>
      <c r="I3" s="96"/>
    </row>
    <row r="4" spans="1:9" x14ac:dyDescent="0.3">
      <c r="A4" s="96"/>
      <c r="B4" s="96" t="str">
        <f>Ricavi!J5</f>
        <v>MP2</v>
      </c>
      <c r="C4" s="96" t="str">
        <f>Ricavi!K5</f>
        <v>MP</v>
      </c>
      <c r="D4" s="96">
        <f>Ricavi!L5</f>
        <v>700</v>
      </c>
      <c r="E4" s="96">
        <f>Ricavi!M5</f>
        <v>4</v>
      </c>
      <c r="F4" s="96">
        <f>Ricavi!O5</f>
        <v>2.5487179487179485</v>
      </c>
      <c r="G4" s="96">
        <f t="shared" si="0"/>
        <v>2800</v>
      </c>
      <c r="H4" s="96" t="s">
        <v>115</v>
      </c>
      <c r="I4" s="96"/>
    </row>
    <row r="5" spans="1:9" x14ac:dyDescent="0.3">
      <c r="A5" s="96"/>
      <c r="B5" s="96" t="str">
        <f>Ricavi!J6</f>
        <v>MP3</v>
      </c>
      <c r="C5" s="96" t="str">
        <f>Ricavi!K6</f>
        <v>MP</v>
      </c>
      <c r="D5" s="96">
        <f>Ricavi!L6</f>
        <v>1100</v>
      </c>
      <c r="E5" s="96">
        <f>Ricavi!M6</f>
        <v>2.4</v>
      </c>
      <c r="F5" s="96">
        <f>Ricavi!O6</f>
        <v>1.5292307692307692</v>
      </c>
      <c r="G5" s="96">
        <f t="shared" si="0"/>
        <v>2640</v>
      </c>
      <c r="H5" s="96" t="s">
        <v>115</v>
      </c>
      <c r="I5" s="96"/>
    </row>
    <row r="6" spans="1:9" x14ac:dyDescent="0.3">
      <c r="A6" s="96"/>
      <c r="B6" s="96" t="str">
        <f>Ricavi!J7</f>
        <v>MP4</v>
      </c>
      <c r="C6" s="96" t="str">
        <f>Ricavi!K7</f>
        <v>MP</v>
      </c>
      <c r="D6" s="96">
        <f>Ricavi!L7</f>
        <v>125</v>
      </c>
      <c r="E6" s="96">
        <f>Ricavi!M7</f>
        <v>4</v>
      </c>
      <c r="F6" s="96">
        <f>Ricavi!O7</f>
        <v>2.5487179487179485</v>
      </c>
      <c r="G6" s="96">
        <f t="shared" si="0"/>
        <v>500</v>
      </c>
      <c r="H6" s="96" t="s">
        <v>115</v>
      </c>
      <c r="I6" s="96"/>
    </row>
    <row r="7" spans="1:9" x14ac:dyDescent="0.3">
      <c r="A7" s="96"/>
      <c r="B7" s="96" t="str">
        <f>Ricavi!J8</f>
        <v>MP5</v>
      </c>
      <c r="C7" s="96" t="str">
        <f>Ricavi!K8</f>
        <v>MP</v>
      </c>
      <c r="D7" s="96">
        <f>Ricavi!L8</f>
        <v>1925</v>
      </c>
      <c r="E7" s="96">
        <f>Ricavi!M8</f>
        <v>2.9058441558441559</v>
      </c>
      <c r="F7" s="96">
        <f>Ricavi!O8</f>
        <v>1.8515442890442888</v>
      </c>
      <c r="G7" s="96">
        <f t="shared" si="0"/>
        <v>5593.75</v>
      </c>
      <c r="H7" s="96" t="s">
        <v>115</v>
      </c>
      <c r="I7" s="96"/>
    </row>
    <row r="8" spans="1:9" x14ac:dyDescent="0.3">
      <c r="A8" s="96"/>
      <c r="B8" s="96" t="str">
        <f>Ricavi!J9</f>
        <v>MP6</v>
      </c>
      <c r="C8" s="96" t="str">
        <f>Ricavi!K9</f>
        <v>MP</v>
      </c>
      <c r="D8" s="96">
        <f>Ricavi!L9</f>
        <v>125</v>
      </c>
      <c r="E8" s="96">
        <f>Ricavi!M9</f>
        <v>4.4000000000000004</v>
      </c>
      <c r="F8" s="96">
        <f>Ricavi!O9</f>
        <v>2.8035897435897441</v>
      </c>
      <c r="G8" s="96">
        <f t="shared" si="0"/>
        <v>550</v>
      </c>
      <c r="H8" s="96" t="s">
        <v>115</v>
      </c>
      <c r="I8" s="96"/>
    </row>
    <row r="9" spans="1:9" x14ac:dyDescent="0.3">
      <c r="A9" s="96"/>
      <c r="B9" s="96" t="str">
        <f>Ricavi!J10</f>
        <v>MP7</v>
      </c>
      <c r="C9" s="96" t="str">
        <f>Ricavi!K10</f>
        <v>MP</v>
      </c>
      <c r="D9" s="96">
        <f>Ricavi!L10</f>
        <v>2000</v>
      </c>
      <c r="E9" s="96">
        <f>Ricavi!M10</f>
        <v>4.62</v>
      </c>
      <c r="F9" s="96">
        <f>Ricavi!O10</f>
        <v>2.9437692307692309</v>
      </c>
      <c r="G9" s="96">
        <f t="shared" si="0"/>
        <v>9240</v>
      </c>
      <c r="H9" s="96" t="s">
        <v>115</v>
      </c>
      <c r="I9" s="96"/>
    </row>
    <row r="10" spans="1:9" x14ac:dyDescent="0.3">
      <c r="A10" s="96"/>
      <c r="B10" s="96" t="str">
        <f>Ricavi!J11</f>
        <v>MP8</v>
      </c>
      <c r="C10" s="96" t="str">
        <f>Ricavi!K11</f>
        <v>MP</v>
      </c>
      <c r="D10" s="96">
        <f>Ricavi!L11</f>
        <v>1000</v>
      </c>
      <c r="E10" s="96">
        <f>Ricavi!M11</f>
        <v>2.65</v>
      </c>
      <c r="F10" s="96">
        <f>Ricavi!O11</f>
        <v>1.6885256410256408</v>
      </c>
      <c r="G10" s="96">
        <f t="shared" si="0"/>
        <v>2650</v>
      </c>
      <c r="H10" s="96" t="s">
        <v>115</v>
      </c>
      <c r="I10" s="96"/>
    </row>
    <row r="11" spans="1:9" x14ac:dyDescent="0.3">
      <c r="A11" s="96"/>
      <c r="B11" s="96" t="str">
        <f>Ricavi!J12</f>
        <v>MP9</v>
      </c>
      <c r="C11" s="96" t="str">
        <f>Ricavi!K12</f>
        <v>MP</v>
      </c>
      <c r="D11" s="96">
        <f>Ricavi!L12</f>
        <v>7000</v>
      </c>
      <c r="E11" s="96">
        <f>Ricavi!M12</f>
        <v>0.19</v>
      </c>
      <c r="F11" s="96">
        <f>Ricavi!O12</f>
        <v>0.13299999999999998</v>
      </c>
      <c r="G11" s="96">
        <f t="shared" si="0"/>
        <v>1330</v>
      </c>
      <c r="H11" s="96" t="s">
        <v>115</v>
      </c>
      <c r="I11" s="96"/>
    </row>
    <row r="12" spans="1:9" x14ac:dyDescent="0.3">
      <c r="A12" s="96"/>
      <c r="B12" s="96" t="str">
        <f>Ricavi!J13</f>
        <v>MP10</v>
      </c>
      <c r="C12" s="96" t="str">
        <f>Ricavi!K13</f>
        <v>MP</v>
      </c>
      <c r="D12" s="96">
        <f>Ricavi!L13</f>
        <v>34866.400000000001</v>
      </c>
      <c r="E12" s="96">
        <f>Ricavi!M13</f>
        <v>0.50710643771654074</v>
      </c>
      <c r="F12" s="96">
        <f>Ricavi!O13</f>
        <v>0.35497450640157852</v>
      </c>
      <c r="G12" s="96">
        <f t="shared" si="0"/>
        <v>17680.975899999998</v>
      </c>
      <c r="H12" s="96" t="s">
        <v>115</v>
      </c>
      <c r="I12" s="96"/>
    </row>
    <row r="13" spans="1:9" x14ac:dyDescent="0.3">
      <c r="A13" s="96"/>
      <c r="B13" s="96" t="str">
        <f>Ricavi!J14</f>
        <v>MP11</v>
      </c>
      <c r="C13" s="96" t="str">
        <f>Ricavi!K14</f>
        <v>MP</v>
      </c>
      <c r="D13" s="96">
        <f>Ricavi!L14</f>
        <v>14037.12</v>
      </c>
      <c r="E13" s="96">
        <f>Ricavi!M14</f>
        <v>7.4104528564263887</v>
      </c>
      <c r="F13" s="96">
        <f>Ricavi!O14</f>
        <v>5.1873169994984716</v>
      </c>
      <c r="G13" s="96">
        <f t="shared" si="0"/>
        <v>104021.416</v>
      </c>
      <c r="H13" s="96" t="s">
        <v>115</v>
      </c>
      <c r="I13" s="96"/>
    </row>
    <row r="14" spans="1:9" x14ac:dyDescent="0.3">
      <c r="A14" s="96"/>
      <c r="B14" s="96" t="str">
        <f>Ricavi!J15</f>
        <v>MP12</v>
      </c>
      <c r="C14" s="96" t="str">
        <f>Ricavi!K15</f>
        <v>MP</v>
      </c>
      <c r="D14" s="96">
        <f>Ricavi!L15</f>
        <v>1904</v>
      </c>
      <c r="E14" s="96">
        <f>Ricavi!M15</f>
        <v>1.4275735294117646</v>
      </c>
      <c r="F14" s="96">
        <f>Ricavi!O15</f>
        <v>0.99930147058823504</v>
      </c>
      <c r="G14" s="96">
        <f t="shared" si="0"/>
        <v>2718.1</v>
      </c>
      <c r="H14" s="96" t="s">
        <v>115</v>
      </c>
      <c r="I14" s="96"/>
    </row>
    <row r="15" spans="1:9" x14ac:dyDescent="0.3">
      <c r="A15" s="96"/>
      <c r="B15" s="96" t="str">
        <f>Ricavi!J16</f>
        <v>MP13</v>
      </c>
      <c r="C15" s="96" t="str">
        <f>Ricavi!K16</f>
        <v>MP</v>
      </c>
      <c r="D15" s="96">
        <f>Ricavi!L16</f>
        <v>150</v>
      </c>
      <c r="E15" s="96">
        <f>Ricavi!M16</f>
        <v>13</v>
      </c>
      <c r="F15" s="96">
        <f>Ricavi!O16</f>
        <v>9.1</v>
      </c>
      <c r="G15" s="96">
        <f t="shared" si="0"/>
        <v>1950</v>
      </c>
      <c r="H15" s="96" t="s">
        <v>115</v>
      </c>
      <c r="I15" s="96"/>
    </row>
    <row r="16" spans="1:9" x14ac:dyDescent="0.3">
      <c r="A16" s="96"/>
      <c r="B16" s="96" t="str">
        <f>Ricavi!J17</f>
        <v>MP14</v>
      </c>
      <c r="C16" s="96" t="str">
        <f>Ricavi!K17</f>
        <v>MP</v>
      </c>
      <c r="D16" s="96">
        <f>Ricavi!L17</f>
        <v>20</v>
      </c>
      <c r="E16" s="96">
        <f>Ricavi!M17</f>
        <v>13.5</v>
      </c>
      <c r="F16" s="96">
        <f>Ricavi!O17</f>
        <v>9.4499999999999993</v>
      </c>
      <c r="G16" s="96">
        <f t="shared" si="0"/>
        <v>270</v>
      </c>
      <c r="H16" s="96" t="s">
        <v>115</v>
      </c>
      <c r="I16" s="96">
        <f>SUM(G22:G63)</f>
        <v>68358549.018526509</v>
      </c>
    </row>
    <row r="17" spans="1:12" x14ac:dyDescent="0.3">
      <c r="A17" s="96"/>
      <c r="B17" s="96" t="str">
        <f>Ricavi!J18</f>
        <v>PCL1</v>
      </c>
      <c r="C17" s="96" t="str">
        <f>Ricavi!K18</f>
        <v>PCL</v>
      </c>
      <c r="D17" s="96">
        <f>Ricavi!L18</f>
        <v>2160885</v>
      </c>
      <c r="E17" s="96">
        <f>Ricavi!M18</f>
        <v>0.11065878100870709</v>
      </c>
      <c r="F17" s="96">
        <f>Ricavi!O18</f>
        <v>0.06</v>
      </c>
      <c r="G17" s="96">
        <f t="shared" si="0"/>
        <v>239120.90000000002</v>
      </c>
      <c r="H17" s="96" t="s">
        <v>116</v>
      </c>
      <c r="I17" s="96"/>
      <c r="K17" s="96"/>
    </row>
    <row r="18" spans="1:12" x14ac:dyDescent="0.3">
      <c r="A18" s="96"/>
      <c r="B18" s="96" t="str">
        <f>Ricavi!J19</f>
        <v>PCL2</v>
      </c>
      <c r="C18" s="96" t="str">
        <f>Ricavi!K19</f>
        <v>PCL</v>
      </c>
      <c r="D18" s="96">
        <f>Ricavi!L19</f>
        <v>168325</v>
      </c>
      <c r="E18" s="96">
        <f>Ricavi!M19</f>
        <v>0.63902212980840634</v>
      </c>
      <c r="F18" s="96">
        <f>Ricavi!O19</f>
        <v>0.45</v>
      </c>
      <c r="G18" s="96">
        <f t="shared" si="0"/>
        <v>107563.4</v>
      </c>
      <c r="H18" s="96" t="s">
        <v>116</v>
      </c>
      <c r="I18" s="96"/>
    </row>
    <row r="19" spans="1:12" x14ac:dyDescent="0.3">
      <c r="A19" s="96"/>
      <c r="B19" s="96" t="str">
        <f>Ricavi!J20</f>
        <v>PCL3</v>
      </c>
      <c r="C19" s="96" t="str">
        <f>Ricavi!K20</f>
        <v>PCL</v>
      </c>
      <c r="D19" s="96">
        <f>Ricavi!L20</f>
        <v>495475</v>
      </c>
      <c r="E19" s="96">
        <f>Ricavi!M20</f>
        <v>1.6503165205106214</v>
      </c>
      <c r="F19" s="96">
        <f>Ricavi!O20</f>
        <v>1.2250024178212826</v>
      </c>
      <c r="G19" s="96">
        <f t="shared" si="0"/>
        <v>817690.5780000001</v>
      </c>
      <c r="H19" s="96" t="s">
        <v>116</v>
      </c>
      <c r="I19" s="96"/>
    </row>
    <row r="20" spans="1:12" x14ac:dyDescent="0.3">
      <c r="A20" s="96"/>
      <c r="B20" s="96" t="str">
        <f>Ricavi!J21</f>
        <v>PCL4</v>
      </c>
      <c r="C20" s="96" t="str">
        <f>Ricavi!K21</f>
        <v>PCL</v>
      </c>
      <c r="D20" s="96">
        <f>Ricavi!L21</f>
        <v>489058</v>
      </c>
      <c r="E20" s="96">
        <f>Ricavi!M21</f>
        <v>2.6814489976240035</v>
      </c>
      <c r="F20" s="96">
        <f>Ricavi!O21</f>
        <v>2.2169886391798115</v>
      </c>
      <c r="G20" s="96">
        <f t="shared" si="0"/>
        <v>1311384.0838799998</v>
      </c>
      <c r="H20" s="96" t="s">
        <v>116</v>
      </c>
      <c r="I20" s="96"/>
    </row>
    <row r="21" spans="1:12" x14ac:dyDescent="0.3">
      <c r="A21" s="96"/>
      <c r="B21" s="96" t="str">
        <f>Ricavi!J22</f>
        <v>PCL5</v>
      </c>
      <c r="C21" s="96" t="str">
        <f>Ricavi!K22</f>
        <v>PCL</v>
      </c>
      <c r="D21" s="96">
        <f>Ricavi!L22</f>
        <v>6160</v>
      </c>
      <c r="E21" s="96">
        <f>Ricavi!M22</f>
        <v>2.25</v>
      </c>
      <c r="F21" s="96">
        <f>Ricavi!O22</f>
        <v>1.8643499999999997</v>
      </c>
      <c r="G21" s="96">
        <f t="shared" si="0"/>
        <v>13860</v>
      </c>
      <c r="H21" s="96" t="s">
        <v>116</v>
      </c>
      <c r="I21" s="96"/>
    </row>
    <row r="22" spans="1:12" x14ac:dyDescent="0.3">
      <c r="A22" s="96"/>
      <c r="B22" s="96" t="str">
        <f>Ricavi!J23</f>
        <v>PF P1</v>
      </c>
      <c r="C22" s="96" t="str">
        <f>Ricavi!K23</f>
        <v>PF</v>
      </c>
      <c r="D22" s="96">
        <f>Ricavi!L23</f>
        <v>1719564</v>
      </c>
      <c r="E22" s="96">
        <f>Ricavi!M23</f>
        <v>3.2527355771579307</v>
      </c>
      <c r="F22" s="96">
        <f>Ricavi!O23</f>
        <v>2.2970083985533547</v>
      </c>
      <c r="G22" s="96">
        <f t="shared" si="0"/>
        <v>5593287</v>
      </c>
      <c r="H22" s="96" t="s">
        <v>204</v>
      </c>
      <c r="I22" s="96" t="s">
        <v>294</v>
      </c>
    </row>
    <row r="23" spans="1:12" x14ac:dyDescent="0.3">
      <c r="A23" s="96"/>
      <c r="B23" s="96" t="str">
        <f>Ricavi!J24</f>
        <v>PF P2</v>
      </c>
      <c r="C23" s="96" t="str">
        <f>Ricavi!K24</f>
        <v>PF</v>
      </c>
      <c r="D23" s="96">
        <f>Ricavi!L24</f>
        <v>292499</v>
      </c>
      <c r="E23" s="96">
        <f>Ricavi!M24</f>
        <v>3.2730881131217542</v>
      </c>
      <c r="F23" s="96">
        <f>Ricavi!O24</f>
        <v>2.2528709887555176</v>
      </c>
      <c r="G23" s="96">
        <f t="shared" si="0"/>
        <v>957375</v>
      </c>
      <c r="H23" s="96" t="s">
        <v>204</v>
      </c>
      <c r="I23" s="96"/>
    </row>
    <row r="24" spans="1:12" x14ac:dyDescent="0.3">
      <c r="A24" s="96"/>
      <c r="B24" s="96" t="str">
        <f>Ricavi!J25</f>
        <v>PF P3</v>
      </c>
      <c r="C24" s="96" t="str">
        <f>Ricavi!K25</f>
        <v>PF</v>
      </c>
      <c r="D24" s="96">
        <f>Ricavi!L25</f>
        <v>442800</v>
      </c>
      <c r="E24" s="96">
        <f>Ricavi!M25</f>
        <v>3.2317332881662151</v>
      </c>
      <c r="F24" s="96">
        <f>Ricavi!O25</f>
        <v>2.2767847363369467</v>
      </c>
      <c r="G24" s="96">
        <f t="shared" si="0"/>
        <v>1431011.5</v>
      </c>
      <c r="H24" s="96" t="s">
        <v>204</v>
      </c>
      <c r="I24" s="96"/>
      <c r="L24" s="96"/>
    </row>
    <row r="25" spans="1:12" x14ac:dyDescent="0.3">
      <c r="A25" s="96"/>
      <c r="B25" s="96" t="str">
        <f>Ricavi!J26</f>
        <v>PF P4</v>
      </c>
      <c r="C25" s="96" t="str">
        <f>Ricavi!K26</f>
        <v>PF</v>
      </c>
      <c r="D25" s="96">
        <f>Ricavi!L26</f>
        <v>8070474</v>
      </c>
      <c r="E25" s="96">
        <f>Ricavi!M26</f>
        <v>3.1339358772483501</v>
      </c>
      <c r="F25" s="96">
        <f>Ricavi!O26</f>
        <v>2.1581976957735072</v>
      </c>
      <c r="G25" s="96">
        <f t="shared" si="0"/>
        <v>25292348.015000001</v>
      </c>
      <c r="H25" s="96" t="s">
        <v>204</v>
      </c>
      <c r="I25" s="96"/>
    </row>
    <row r="26" spans="1:12" x14ac:dyDescent="0.3">
      <c r="A26" s="96"/>
      <c r="B26" s="96" t="str">
        <f>Ricavi!J27</f>
        <v>PF P5</v>
      </c>
      <c r="C26" s="96" t="str">
        <f>Ricavi!K27</f>
        <v>PF</v>
      </c>
      <c r="D26" s="96">
        <f>Ricavi!L27</f>
        <v>205850</v>
      </c>
      <c r="E26" s="96">
        <f>Ricavi!M27</f>
        <v>2.6884649639082481</v>
      </c>
      <c r="F26" s="96">
        <f>Ricavi!O27</f>
        <v>2.1592931114889486</v>
      </c>
      <c r="G26" s="96">
        <f t="shared" si="0"/>
        <v>553420.51282051287</v>
      </c>
      <c r="H26" s="96" t="s">
        <v>204</v>
      </c>
      <c r="I26" s="96"/>
    </row>
    <row r="27" spans="1:12" x14ac:dyDescent="0.3">
      <c r="A27" s="96"/>
      <c r="B27" s="96" t="str">
        <f>Ricavi!J28</f>
        <v>PF P6</v>
      </c>
      <c r="C27" s="96" t="str">
        <f>Ricavi!K28</f>
        <v>PF</v>
      </c>
      <c r="D27" s="96">
        <f>Ricavi!L28</f>
        <v>3233156</v>
      </c>
      <c r="E27" s="96">
        <f>Ricavi!M28</f>
        <v>2.761472347418092</v>
      </c>
      <c r="F27" s="96">
        <f>Ricavi!O28</f>
        <v>2.2976852023348089</v>
      </c>
      <c r="G27" s="96">
        <f t="shared" si="0"/>
        <v>8928270.8888888881</v>
      </c>
      <c r="H27" s="96" t="s">
        <v>204</v>
      </c>
      <c r="I27" s="96"/>
    </row>
    <row r="28" spans="1:12" x14ac:dyDescent="0.3">
      <c r="A28" s="96"/>
      <c r="B28" s="96" t="str">
        <f>Ricavi!J29</f>
        <v>PF P7</v>
      </c>
      <c r="C28" s="96" t="str">
        <f>Ricavi!K29</f>
        <v>PF</v>
      </c>
      <c r="D28" s="96">
        <f>Ricavi!L29</f>
        <v>660340</v>
      </c>
      <c r="E28" s="96">
        <f>Ricavi!M29</f>
        <v>0.96042054093345852</v>
      </c>
      <c r="F28" s="96">
        <f>Ricavi!O29</f>
        <v>0.7356204767241119</v>
      </c>
      <c r="G28" s="96">
        <f t="shared" si="0"/>
        <v>634204.1</v>
      </c>
      <c r="H28" s="96" t="s">
        <v>204</v>
      </c>
      <c r="I28" s="96"/>
      <c r="K28" s="96"/>
    </row>
    <row r="29" spans="1:12" x14ac:dyDescent="0.3">
      <c r="A29" s="96"/>
      <c r="B29" s="96" t="str">
        <f>Ricavi!J30</f>
        <v>PF V1</v>
      </c>
      <c r="C29" s="96" t="str">
        <f>Ricavi!K30</f>
        <v>PF</v>
      </c>
      <c r="D29" s="96">
        <f>Ricavi!L30</f>
        <v>509668</v>
      </c>
      <c r="E29" s="96">
        <f>Ricavi!M30</f>
        <v>1.4659810896505177</v>
      </c>
      <c r="F29" s="96">
        <f>Ricavi!O30</f>
        <v>1.1399042383473164</v>
      </c>
      <c r="G29" s="96">
        <f t="shared" si="0"/>
        <v>747163.65</v>
      </c>
      <c r="H29" s="96" t="s">
        <v>205</v>
      </c>
      <c r="I29" s="96" t="s">
        <v>295</v>
      </c>
      <c r="K29" s="96"/>
    </row>
    <row r="30" spans="1:12" x14ac:dyDescent="0.3">
      <c r="A30" s="96"/>
      <c r="B30" s="96" t="str">
        <f>Ricavi!J31</f>
        <v>PF V2</v>
      </c>
      <c r="C30" s="96" t="str">
        <f>Ricavi!K31</f>
        <v>PF</v>
      </c>
      <c r="D30" s="96">
        <f>Ricavi!L31</f>
        <v>2539984</v>
      </c>
      <c r="E30" s="96">
        <f>Ricavi!M31</f>
        <v>1.5574062198816996</v>
      </c>
      <c r="F30" s="96">
        <f>Ricavi!O31</f>
        <v>1.190501486698341</v>
      </c>
      <c r="G30" s="96">
        <f t="shared" si="0"/>
        <v>3955786.879999999</v>
      </c>
      <c r="H30" s="96" t="s">
        <v>205</v>
      </c>
      <c r="I30" s="96"/>
      <c r="K30" s="96"/>
    </row>
    <row r="31" spans="1:12" x14ac:dyDescent="0.3">
      <c r="A31" s="96"/>
      <c r="B31" s="96" t="str">
        <f>Ricavi!J32</f>
        <v>PF V3</v>
      </c>
      <c r="C31" s="96" t="str">
        <f>Ricavi!K32</f>
        <v>PF</v>
      </c>
      <c r="D31" s="96">
        <f>Ricavi!L32</f>
        <v>879638</v>
      </c>
      <c r="E31" s="96">
        <f>Ricavi!M32</f>
        <v>1.5255310138943521</v>
      </c>
      <c r="F31" s="96">
        <f>Ricavi!O32</f>
        <v>1.159534770973969</v>
      </c>
      <c r="G31" s="96">
        <f t="shared" si="0"/>
        <v>1341915.05</v>
      </c>
      <c r="H31" s="96" t="s">
        <v>205</v>
      </c>
      <c r="I31" s="96"/>
      <c r="K31" s="96"/>
    </row>
    <row r="32" spans="1:12" x14ac:dyDescent="0.3">
      <c r="A32" s="96"/>
      <c r="B32" s="96" t="str">
        <f>Ricavi!J33</f>
        <v>PF V4</v>
      </c>
      <c r="C32" s="96" t="str">
        <f>Ricavi!K33</f>
        <v>PF</v>
      </c>
      <c r="D32" s="96">
        <f>Ricavi!L33</f>
        <v>579689</v>
      </c>
      <c r="E32" s="96">
        <f>Ricavi!M33</f>
        <v>1.5588271124689272</v>
      </c>
      <c r="F32" s="96">
        <f>Ricavi!O33</f>
        <v>1.1870107720346599</v>
      </c>
      <c r="G32" s="96">
        <f t="shared" si="0"/>
        <v>903634.92999999993</v>
      </c>
      <c r="H32" s="96" t="s">
        <v>205</v>
      </c>
      <c r="I32" s="96"/>
      <c r="K32" s="96"/>
    </row>
    <row r="33" spans="1:9" x14ac:dyDescent="0.3">
      <c r="A33" s="96"/>
      <c r="B33" s="96" t="str">
        <f>Ricavi!J34</f>
        <v>PF V5</v>
      </c>
      <c r="C33" s="96" t="str">
        <f>Ricavi!K34</f>
        <v>PF</v>
      </c>
      <c r="D33" s="96">
        <f>Ricavi!L34</f>
        <v>448105</v>
      </c>
      <c r="E33" s="96">
        <f>Ricavi!M34</f>
        <v>1.4237468896798742</v>
      </c>
      <c r="F33" s="96">
        <f>Ricavi!O34</f>
        <v>1.1223359093292866</v>
      </c>
      <c r="G33" s="96">
        <f t="shared" si="0"/>
        <v>637988.1</v>
      </c>
      <c r="H33" s="96" t="s">
        <v>205</v>
      </c>
      <c r="I33" s="96"/>
    </row>
    <row r="34" spans="1:9" x14ac:dyDescent="0.3">
      <c r="A34" s="96"/>
      <c r="B34" s="96" t="str">
        <f>Ricavi!J35</f>
        <v>PF V6</v>
      </c>
      <c r="C34" s="96" t="str">
        <f>Ricavi!K35</f>
        <v>PF</v>
      </c>
      <c r="D34" s="96">
        <f>Ricavi!L35</f>
        <v>130100</v>
      </c>
      <c r="E34" s="96">
        <f>Ricavi!M35</f>
        <v>1.9231706379707918</v>
      </c>
      <c r="F34" s="96">
        <f>Ricavi!O35</f>
        <v>1.2489680491929285</v>
      </c>
      <c r="G34" s="96">
        <f t="shared" si="0"/>
        <v>250204.5</v>
      </c>
      <c r="H34" s="96" t="s">
        <v>205</v>
      </c>
      <c r="I34" s="96"/>
    </row>
    <row r="35" spans="1:9" x14ac:dyDescent="0.3">
      <c r="A35" s="96"/>
      <c r="B35" s="96" t="str">
        <f>Ricavi!J36</f>
        <v>PF V7</v>
      </c>
      <c r="C35" s="96" t="str">
        <f>Ricavi!K36</f>
        <v>PF</v>
      </c>
      <c r="D35" s="96">
        <f>Ricavi!L36</f>
        <v>13340</v>
      </c>
      <c r="E35" s="96">
        <f>Ricavi!M36</f>
        <v>1.1880509745127437</v>
      </c>
      <c r="F35" s="96">
        <f>Ricavi!O36</f>
        <v>0.55081494752623683</v>
      </c>
      <c r="G35" s="96">
        <f t="shared" si="0"/>
        <v>15848.6</v>
      </c>
      <c r="H35" s="96" t="s">
        <v>205</v>
      </c>
      <c r="I35" s="96"/>
    </row>
    <row r="36" spans="1:9" x14ac:dyDescent="0.3">
      <c r="A36" s="96"/>
      <c r="B36" s="96" t="str">
        <f>Ricavi!J37</f>
        <v>PF V8</v>
      </c>
      <c r="C36" s="96" t="str">
        <f>Ricavi!K37</f>
        <v>PF</v>
      </c>
      <c r="D36" s="96">
        <f>Ricavi!L37</f>
        <v>81820</v>
      </c>
      <c r="E36" s="96">
        <f>Ricavi!M37</f>
        <v>1.6966731850403327</v>
      </c>
      <c r="F36" s="96">
        <f>Ricavi!O37</f>
        <v>1.2888624835003668</v>
      </c>
      <c r="G36" s="96">
        <f t="shared" si="0"/>
        <v>138821.80000000002</v>
      </c>
      <c r="H36" s="96" t="s">
        <v>205</v>
      </c>
      <c r="I36" s="96"/>
    </row>
    <row r="37" spans="1:9" x14ac:dyDescent="0.3">
      <c r="A37" s="96"/>
      <c r="B37" s="96" t="str">
        <f>Ricavi!J38</f>
        <v>PF V9</v>
      </c>
      <c r="C37" s="96" t="str">
        <f>Ricavi!K38</f>
        <v>PF</v>
      </c>
      <c r="D37" s="96">
        <f>Ricavi!L38</f>
        <v>21040</v>
      </c>
      <c r="E37" s="96">
        <f>Ricavi!M38</f>
        <v>1.6010133079847908</v>
      </c>
      <c r="F37" s="96">
        <f>Ricavi!O38</f>
        <v>1.3689428422053231</v>
      </c>
      <c r="G37" s="96">
        <f t="shared" si="0"/>
        <v>33685.32</v>
      </c>
      <c r="H37" s="96" t="s">
        <v>205</v>
      </c>
      <c r="I37" s="96"/>
    </row>
    <row r="38" spans="1:9" x14ac:dyDescent="0.3">
      <c r="A38" s="96"/>
      <c r="B38" s="96" t="str">
        <f>Ricavi!J39</f>
        <v>PF V10</v>
      </c>
      <c r="C38" s="96" t="str">
        <f>Ricavi!K39</f>
        <v>PF</v>
      </c>
      <c r="D38" s="96">
        <f>Ricavi!L39</f>
        <v>14625</v>
      </c>
      <c r="E38" s="96">
        <f>Ricavi!M39</f>
        <v>1.6058974358974358</v>
      </c>
      <c r="F38" s="96">
        <f>Ricavi!O39</f>
        <v>1.2319166666666668</v>
      </c>
      <c r="G38" s="96">
        <f t="shared" si="0"/>
        <v>23486.25</v>
      </c>
      <c r="H38" s="96" t="s">
        <v>205</v>
      </c>
      <c r="I38" s="96"/>
    </row>
    <row r="39" spans="1:9" x14ac:dyDescent="0.3">
      <c r="A39" s="96"/>
      <c r="B39" s="96" t="str">
        <f>Ricavi!J40</f>
        <v>PF V11</v>
      </c>
      <c r="C39" s="96" t="str">
        <f>Ricavi!K40</f>
        <v>PF</v>
      </c>
      <c r="D39" s="96">
        <f>Ricavi!L40</f>
        <v>307868</v>
      </c>
      <c r="E39" s="96">
        <f>Ricavi!M40</f>
        <v>0.90408698855175917</v>
      </c>
      <c r="F39" s="96">
        <f>Ricavi!O40</f>
        <v>0.75997644847791901</v>
      </c>
      <c r="G39" s="96">
        <f t="shared" si="0"/>
        <v>278339.452991453</v>
      </c>
      <c r="H39" s="96" t="s">
        <v>205</v>
      </c>
      <c r="I39" s="96"/>
    </row>
    <row r="40" spans="1:9" x14ac:dyDescent="0.3">
      <c r="A40" s="96"/>
      <c r="B40" s="96" t="str">
        <f>Ricavi!J41</f>
        <v>PF V12</v>
      </c>
      <c r="C40" s="96" t="str">
        <f>Ricavi!K41</f>
        <v>PF</v>
      </c>
      <c r="D40" s="96">
        <f>Ricavi!L41</f>
        <v>7000</v>
      </c>
      <c r="E40" s="96">
        <f>Ricavi!M41</f>
        <v>1.1868131868131868</v>
      </c>
      <c r="F40" s="96">
        <f>Ricavi!O41</f>
        <v>1.1206985714285713</v>
      </c>
      <c r="G40" s="96">
        <f t="shared" si="0"/>
        <v>8307.6923076923085</v>
      </c>
      <c r="H40" s="96" t="s">
        <v>205</v>
      </c>
      <c r="I40" s="96"/>
    </row>
    <row r="41" spans="1:9" x14ac:dyDescent="0.3">
      <c r="A41" s="96"/>
      <c r="B41" s="96" t="str">
        <f>Ricavi!J42</f>
        <v>PF V13</v>
      </c>
      <c r="C41" s="96" t="str">
        <f>Ricavi!K42</f>
        <v>PF</v>
      </c>
      <c r="D41" s="96">
        <f>Ricavi!L42</f>
        <v>850145</v>
      </c>
      <c r="E41" s="96">
        <f>Ricavi!M42</f>
        <v>1.0863409575229324</v>
      </c>
      <c r="F41" s="96">
        <f>Ricavi!O42</f>
        <v>0.99127780878556027</v>
      </c>
      <c r="G41" s="96">
        <f t="shared" si="0"/>
        <v>923547.33333333337</v>
      </c>
      <c r="H41" s="96" t="s">
        <v>205</v>
      </c>
      <c r="I41" s="96"/>
    </row>
    <row r="42" spans="1:9" x14ac:dyDescent="0.3">
      <c r="A42" s="96"/>
      <c r="B42" s="96" t="str">
        <f>Ricavi!J43</f>
        <v>PF V14</v>
      </c>
      <c r="C42" s="96" t="str">
        <f>Ricavi!K43</f>
        <v>PF</v>
      </c>
      <c r="D42" s="96">
        <f>Ricavi!L43</f>
        <v>40480</v>
      </c>
      <c r="E42" s="96">
        <f>Ricavi!M43</f>
        <v>1.0868235025843722</v>
      </c>
      <c r="F42" s="96">
        <f>Ricavi!O43</f>
        <v>0.96538828063241089</v>
      </c>
      <c r="G42" s="96">
        <f t="shared" si="0"/>
        <v>43994.61538461539</v>
      </c>
      <c r="H42" s="96" t="s">
        <v>205</v>
      </c>
      <c r="I42" s="96"/>
    </row>
    <row r="43" spans="1:9" x14ac:dyDescent="0.3">
      <c r="A43" s="96"/>
      <c r="B43" s="96" t="str">
        <f>Ricavi!J44</f>
        <v>PF V15</v>
      </c>
      <c r="C43" s="96" t="str">
        <f>Ricavi!K44</f>
        <v>PF</v>
      </c>
      <c r="D43" s="96">
        <f>Ricavi!L44</f>
        <v>30000</v>
      </c>
      <c r="E43" s="96">
        <f>Ricavi!M44</f>
        <v>2.1413333333333333</v>
      </c>
      <c r="F43" s="96">
        <f>Ricavi!O44</f>
        <v>1.6941680000000001</v>
      </c>
      <c r="G43" s="96">
        <f t="shared" si="0"/>
        <v>64240</v>
      </c>
      <c r="H43" s="96" t="s">
        <v>205</v>
      </c>
      <c r="I43" s="96"/>
    </row>
    <row r="44" spans="1:9" x14ac:dyDescent="0.3">
      <c r="A44" s="96"/>
      <c r="B44" s="96" t="str">
        <f>Ricavi!J45</f>
        <v>PF V16</v>
      </c>
      <c r="C44" s="96" t="str">
        <f>Ricavi!K45</f>
        <v>PF</v>
      </c>
      <c r="D44" s="96">
        <f>Ricavi!L45</f>
        <v>16500</v>
      </c>
      <c r="E44" s="96">
        <f>Ricavi!M45</f>
        <v>1.2007575757575757</v>
      </c>
      <c r="F44" s="96">
        <f>Ricavi!O45</f>
        <v>0.9244603787878789</v>
      </c>
      <c r="G44" s="96">
        <f t="shared" si="0"/>
        <v>19812.5</v>
      </c>
      <c r="H44" s="96" t="s">
        <v>205</v>
      </c>
      <c r="I44" s="96"/>
    </row>
    <row r="45" spans="1:9" x14ac:dyDescent="0.3">
      <c r="A45" s="96"/>
      <c r="B45" s="96" t="str">
        <f>Ricavi!J46</f>
        <v>PF A1</v>
      </c>
      <c r="C45" s="96" t="str">
        <f>Ricavi!K46</f>
        <v>PF</v>
      </c>
      <c r="D45" s="96">
        <f>Ricavi!L46</f>
        <v>94290</v>
      </c>
      <c r="E45" s="96">
        <f>Ricavi!M46</f>
        <v>1.2885862763813767</v>
      </c>
      <c r="F45" s="96">
        <f>Ricavi!O46</f>
        <v>0</v>
      </c>
      <c r="G45" s="96">
        <f t="shared" si="0"/>
        <v>121500.8</v>
      </c>
      <c r="H45" s="96" t="s">
        <v>206</v>
      </c>
      <c r="I45" s="96" t="s">
        <v>207</v>
      </c>
    </row>
    <row r="46" spans="1:9" x14ac:dyDescent="0.3">
      <c r="A46" s="96"/>
      <c r="B46" s="96" t="str">
        <f>Ricavi!J47</f>
        <v>PF A2</v>
      </c>
      <c r="C46" s="96" t="str">
        <f>Ricavi!K47</f>
        <v>PF</v>
      </c>
      <c r="D46" s="96">
        <f>Ricavi!L47</f>
        <v>151620</v>
      </c>
      <c r="E46" s="96">
        <f>Ricavi!M47</f>
        <v>1.7877720617332806</v>
      </c>
      <c r="F46" s="96">
        <f>Ricavi!O47</f>
        <v>1.5182724627357869</v>
      </c>
      <c r="G46" s="96">
        <f t="shared" si="0"/>
        <v>271062</v>
      </c>
      <c r="H46" s="96" t="s">
        <v>206</v>
      </c>
      <c r="I46" s="96"/>
    </row>
    <row r="47" spans="1:9" x14ac:dyDescent="0.3">
      <c r="A47" s="96"/>
      <c r="B47" s="96" t="str">
        <f>Ricavi!J48</f>
        <v>PF A3</v>
      </c>
      <c r="C47" s="96" t="str">
        <f>Ricavi!K48</f>
        <v>PF</v>
      </c>
      <c r="D47" s="96">
        <f>Ricavi!L48</f>
        <v>411979</v>
      </c>
      <c r="E47" s="96">
        <f>Ricavi!M48</f>
        <v>1.8322972695210196</v>
      </c>
      <c r="F47" s="96">
        <f>Ricavi!O48</f>
        <v>1.4404786492029935</v>
      </c>
      <c r="G47" s="96">
        <f t="shared" si="0"/>
        <v>754867.99680000008</v>
      </c>
      <c r="H47" s="96" t="s">
        <v>206</v>
      </c>
      <c r="I47" s="96"/>
    </row>
    <row r="48" spans="1:9" x14ac:dyDescent="0.3">
      <c r="A48" s="96"/>
      <c r="B48" s="96" t="str">
        <f>Ricavi!J49</f>
        <v>PF A4</v>
      </c>
      <c r="C48" s="96" t="str">
        <f>Ricavi!K49</f>
        <v>PF</v>
      </c>
      <c r="D48" s="96">
        <f>Ricavi!L49</f>
        <v>1362839</v>
      </c>
      <c r="E48" s="96">
        <f>Ricavi!M49</f>
        <v>1.423482665456222</v>
      </c>
      <c r="F48" s="96">
        <f>Ricavi!O49</f>
        <v>1.3105806561670159</v>
      </c>
      <c r="G48" s="96">
        <f t="shared" si="0"/>
        <v>1939977.6923076923</v>
      </c>
      <c r="H48" s="96" t="s">
        <v>206</v>
      </c>
      <c r="I48" s="96"/>
    </row>
    <row r="49" spans="1:11" x14ac:dyDescent="0.3">
      <c r="A49" s="96"/>
      <c r="B49" s="96" t="str">
        <f>Ricavi!J50</f>
        <v>PF A5</v>
      </c>
      <c r="C49" s="96" t="str">
        <f>Ricavi!K50</f>
        <v>PF</v>
      </c>
      <c r="D49" s="96">
        <f>Ricavi!L50</f>
        <v>96425</v>
      </c>
      <c r="E49" s="96">
        <f>Ricavi!M50</f>
        <v>1.3552173980486142</v>
      </c>
      <c r="F49" s="96">
        <f>Ricavi!O50</f>
        <v>1.1837239694062742</v>
      </c>
      <c r="G49" s="96">
        <f t="shared" si="0"/>
        <v>130676.83760683762</v>
      </c>
      <c r="H49" s="96" t="s">
        <v>206</v>
      </c>
      <c r="I49" s="96"/>
    </row>
    <row r="50" spans="1:11" x14ac:dyDescent="0.3">
      <c r="A50" s="96"/>
      <c r="B50" s="96" t="str">
        <f>Ricavi!J51</f>
        <v>PF A6</v>
      </c>
      <c r="C50" s="96" t="str">
        <f>Ricavi!K51</f>
        <v>PF</v>
      </c>
      <c r="D50" s="96">
        <f>Ricavi!L51</f>
        <v>61100</v>
      </c>
      <c r="E50" s="96">
        <f>Ricavi!M51</f>
        <v>1.479172996488872</v>
      </c>
      <c r="F50" s="96">
        <f>Ricavi!O51</f>
        <v>1.2825347995090015</v>
      </c>
      <c r="G50" s="96">
        <f t="shared" si="0"/>
        <v>90377.470085470079</v>
      </c>
      <c r="H50" s="96" t="s">
        <v>206</v>
      </c>
      <c r="I50" s="96"/>
    </row>
    <row r="51" spans="1:11" x14ac:dyDescent="0.3">
      <c r="A51" s="96"/>
      <c r="B51" s="96" t="str">
        <f>Ricavi!J52</f>
        <v>PF A7</v>
      </c>
      <c r="C51" s="96" t="str">
        <f>Ricavi!K52</f>
        <v>PF</v>
      </c>
      <c r="D51" s="96">
        <f>Ricavi!L52</f>
        <v>2820458.99</v>
      </c>
      <c r="E51" s="96">
        <f>Ricavi!M52</f>
        <v>1.6397767269078427</v>
      </c>
      <c r="F51" s="96">
        <f>Ricavi!O52</f>
        <v>1.2408623742745859</v>
      </c>
      <c r="G51" s="96">
        <f t="shared" si="0"/>
        <v>4624923.0109999999</v>
      </c>
      <c r="H51" s="96" t="s">
        <v>206</v>
      </c>
      <c r="I51" s="96"/>
    </row>
    <row r="52" spans="1:11" x14ac:dyDescent="0.3">
      <c r="A52" s="96"/>
      <c r="B52" s="96" t="str">
        <f>Ricavi!J53</f>
        <v>PF A8</v>
      </c>
      <c r="C52" s="96" t="str">
        <f>Ricavi!K53</f>
        <v>PF</v>
      </c>
      <c r="D52" s="96">
        <f>Ricavi!L53</f>
        <v>157263</v>
      </c>
      <c r="E52" s="96">
        <f>Ricavi!M53</f>
        <v>1.6271923465786613</v>
      </c>
      <c r="F52" s="96">
        <f>Ricavi!O53</f>
        <v>1.1648880465207965</v>
      </c>
      <c r="G52" s="96">
        <f t="shared" si="0"/>
        <v>255897.15000000002</v>
      </c>
      <c r="H52" s="96" t="s">
        <v>206</v>
      </c>
      <c r="I52" s="96"/>
    </row>
    <row r="53" spans="1:11" x14ac:dyDescent="0.3">
      <c r="A53" s="96"/>
      <c r="B53" s="96" t="str">
        <f>Ricavi!J54</f>
        <v>PF A9</v>
      </c>
      <c r="C53" s="96" t="str">
        <f>Ricavi!K54</f>
        <v>PF</v>
      </c>
      <c r="D53" s="96">
        <f>Ricavi!L54</f>
        <v>261930</v>
      </c>
      <c r="E53" s="96">
        <f>Ricavi!M54</f>
        <v>1.5522070782270072</v>
      </c>
      <c r="F53" s="96">
        <f>Ricavi!O54</f>
        <v>1.0346569554842897</v>
      </c>
      <c r="G53" s="96">
        <f t="shared" si="0"/>
        <v>406569.6</v>
      </c>
      <c r="H53" s="96" t="s">
        <v>206</v>
      </c>
      <c r="I53" s="96"/>
    </row>
    <row r="54" spans="1:11" x14ac:dyDescent="0.3">
      <c r="A54" s="96"/>
      <c r="B54" s="96" t="str">
        <f>Ricavi!J55</f>
        <v>PF A10</v>
      </c>
      <c r="C54" s="96" t="str">
        <f>Ricavi!K55</f>
        <v>PF</v>
      </c>
      <c r="D54" s="96">
        <f>Ricavi!L55</f>
        <v>500680</v>
      </c>
      <c r="E54" s="96">
        <f>Ricavi!M55</f>
        <v>1.2455093073420147</v>
      </c>
      <c r="F54" s="96">
        <f>Ricavi!O55</f>
        <v>0.90018249700407449</v>
      </c>
      <c r="G54" s="96">
        <f t="shared" si="0"/>
        <v>623601.6</v>
      </c>
      <c r="H54" s="96" t="s">
        <v>206</v>
      </c>
      <c r="I54" s="96"/>
      <c r="K54" s="104" t="s">
        <v>296</v>
      </c>
    </row>
    <row r="55" spans="1:11" x14ac:dyDescent="0.3">
      <c r="A55" s="96"/>
      <c r="B55" s="96" t="str">
        <f>Ricavi!J56</f>
        <v>PF A11</v>
      </c>
      <c r="C55" s="96" t="str">
        <f>Ricavi!K56</f>
        <v>PF</v>
      </c>
      <c r="D55" s="96">
        <f>Ricavi!L56</f>
        <v>62569</v>
      </c>
      <c r="E55" s="96">
        <f>Ricavi!M56</f>
        <v>1.9325902603525706</v>
      </c>
      <c r="F55" s="96">
        <f>Ricavi!O56</f>
        <v>1.3611319394588377</v>
      </c>
      <c r="G55" s="96">
        <f t="shared" si="0"/>
        <v>120920.23999999999</v>
      </c>
      <c r="H55" s="96" t="s">
        <v>206</v>
      </c>
      <c r="I55" s="96"/>
      <c r="K55" s="105">
        <f>SUMIF($C$3:$C$63,"PF",$G$3:$G$63)</f>
        <v>68358549.018526509</v>
      </c>
    </row>
    <row r="56" spans="1:11" x14ac:dyDescent="0.3">
      <c r="A56" s="96"/>
      <c r="B56" s="96" t="str">
        <f>Ricavi!J57</f>
        <v>PF A12</v>
      </c>
      <c r="C56" s="96" t="str">
        <f>Ricavi!K57</f>
        <v>PF</v>
      </c>
      <c r="D56" s="96">
        <f>Ricavi!L57</f>
        <v>927765</v>
      </c>
      <c r="E56" s="96">
        <f>Ricavi!M57</f>
        <v>2.009165683120187</v>
      </c>
      <c r="F56" s="96">
        <f>Ricavi!O57</f>
        <v>1.404875675575173</v>
      </c>
      <c r="G56" s="96">
        <f t="shared" si="0"/>
        <v>1864033.6000000003</v>
      </c>
      <c r="H56" s="96" t="s">
        <v>206</v>
      </c>
      <c r="I56" s="96"/>
      <c r="K56" s="104" t="s">
        <v>297</v>
      </c>
    </row>
    <row r="57" spans="1:11" x14ac:dyDescent="0.3">
      <c r="A57" s="96"/>
      <c r="B57" s="96" t="str">
        <f>Ricavi!J58</f>
        <v>PF A13</v>
      </c>
      <c r="C57" s="96" t="str">
        <f>Ricavi!K58</f>
        <v>PF</v>
      </c>
      <c r="D57" s="96">
        <f>Ricavi!L58</f>
        <v>129425</v>
      </c>
      <c r="E57" s="96">
        <f>Ricavi!M58</f>
        <v>1.6307046552057176</v>
      </c>
      <c r="F57" s="96">
        <f>Ricavi!O58</f>
        <v>1.1999951095228896</v>
      </c>
      <c r="G57" s="96">
        <f t="shared" si="0"/>
        <v>211053.95</v>
      </c>
      <c r="H57" s="96" t="s">
        <v>206</v>
      </c>
      <c r="I57" s="96"/>
      <c r="K57" s="105">
        <f>SUMIF($C$3:$C$63,"MP",$G$3:$G$63)</f>
        <v>196584.24189999999</v>
      </c>
    </row>
    <row r="58" spans="1:11" x14ac:dyDescent="0.3">
      <c r="A58" s="96"/>
      <c r="B58" s="96" t="str">
        <f>Ricavi!J59</f>
        <v>PF A14</v>
      </c>
      <c r="C58" s="96" t="str">
        <f>Ricavi!K59</f>
        <v>PF</v>
      </c>
      <c r="D58" s="96">
        <f>Ricavi!L59</f>
        <v>131955</v>
      </c>
      <c r="E58" s="96">
        <f>Ricavi!M59</f>
        <v>1.9791817665113107</v>
      </c>
      <c r="F58" s="96">
        <f>Ricavi!O59</f>
        <v>1.370090544124891</v>
      </c>
      <c r="G58" s="96">
        <f t="shared" si="0"/>
        <v>261162.93</v>
      </c>
      <c r="H58" s="96" t="s">
        <v>206</v>
      </c>
      <c r="I58" s="96"/>
      <c r="K58" s="104" t="s">
        <v>298</v>
      </c>
    </row>
    <row r="59" spans="1:11" x14ac:dyDescent="0.3">
      <c r="A59" s="96"/>
      <c r="B59" s="96" t="str">
        <f>Ricavi!J60</f>
        <v>PF A15</v>
      </c>
      <c r="C59" s="96" t="str">
        <f>Ricavi!K60</f>
        <v>PF</v>
      </c>
      <c r="D59" s="96">
        <f>Ricavi!L60</f>
        <v>375075</v>
      </c>
      <c r="E59" s="96">
        <f>Ricavi!M60</f>
        <v>1.7865580217289871</v>
      </c>
      <c r="F59" s="96">
        <f>Ricavi!O60</f>
        <v>1.2283678686929282</v>
      </c>
      <c r="G59" s="96">
        <f t="shared" si="0"/>
        <v>670093.24999999988</v>
      </c>
      <c r="H59" s="96" t="s">
        <v>206</v>
      </c>
      <c r="I59" s="96"/>
      <c r="K59" s="105">
        <f>SUMIF($C$3:$C$63,"PCL",$G$3:$G$63)</f>
        <v>2489618.9618799998</v>
      </c>
    </row>
    <row r="60" spans="1:11" x14ac:dyDescent="0.3">
      <c r="A60" s="96"/>
      <c r="B60" s="96" t="str">
        <f>Ricavi!J61</f>
        <v>PF A16</v>
      </c>
      <c r="C60" s="96" t="str">
        <f>Ricavi!K61</f>
        <v>PF</v>
      </c>
      <c r="D60" s="96">
        <f>Ricavi!L61</f>
        <v>151110</v>
      </c>
      <c r="E60" s="96">
        <f>Ricavi!M61</f>
        <v>1.6128909403745617</v>
      </c>
      <c r="F60" s="96">
        <f>Ricavi!O61</f>
        <v>1.1950272698696316</v>
      </c>
      <c r="G60" s="96">
        <f t="shared" si="0"/>
        <v>243723.95</v>
      </c>
      <c r="H60" s="96" t="s">
        <v>206</v>
      </c>
      <c r="I60" s="96"/>
    </row>
    <row r="61" spans="1:11" x14ac:dyDescent="0.3">
      <c r="A61" s="96"/>
      <c r="B61" s="96" t="str">
        <f>Ricavi!J62</f>
        <v>PF A17</v>
      </c>
      <c r="C61" s="96" t="str">
        <f>Ricavi!K62</f>
        <v>PF</v>
      </c>
      <c r="D61" s="96">
        <f>Ricavi!L62</f>
        <v>240225</v>
      </c>
      <c r="E61" s="96">
        <f>Ricavi!M62</f>
        <v>1.9365259652409199</v>
      </c>
      <c r="F61" s="96">
        <f>Ricavi!O62</f>
        <v>1.4175060813820379</v>
      </c>
      <c r="G61" s="96">
        <f t="shared" si="0"/>
        <v>465201.95</v>
      </c>
      <c r="H61" s="96" t="s">
        <v>206</v>
      </c>
      <c r="I61" s="96"/>
    </row>
    <row r="62" spans="1:11" x14ac:dyDescent="0.3">
      <c r="A62" s="96"/>
      <c r="B62" s="96" t="str">
        <f>Ricavi!J63</f>
        <v>PF A18</v>
      </c>
      <c r="C62" s="96" t="str">
        <f>Ricavi!K63</f>
        <v>PF</v>
      </c>
      <c r="D62" s="96">
        <f>Ricavi!L63</f>
        <v>392880</v>
      </c>
      <c r="E62" s="96">
        <f>Ricavi!M63</f>
        <v>1.0338126145387905</v>
      </c>
      <c r="F62" s="96">
        <f>Ricavi!O63</f>
        <v>0.5436791535583384</v>
      </c>
      <c r="G62" s="96">
        <f t="shared" si="0"/>
        <v>406164.3</v>
      </c>
      <c r="H62" s="96" t="s">
        <v>206</v>
      </c>
      <c r="I62" s="96"/>
    </row>
    <row r="63" spans="1:11" x14ac:dyDescent="0.3">
      <c r="A63" s="96"/>
      <c r="B63" s="96" t="str">
        <f>Ricavi!J64</f>
        <v>PF A19</v>
      </c>
      <c r="C63" s="96" t="str">
        <f>Ricavi!K64</f>
        <v>PF</v>
      </c>
      <c r="D63" s="96">
        <f>Ricavi!L64</f>
        <v>1325620</v>
      </c>
      <c r="E63" s="96">
        <f>Ricavi!M64</f>
        <v>1.59928712602404</v>
      </c>
      <c r="F63" s="96">
        <f>Ricavi!O64</f>
        <v>1.4112718684087449</v>
      </c>
      <c r="G63" s="96">
        <f t="shared" si="0"/>
        <v>2120046.9999999879</v>
      </c>
      <c r="H63" s="96" t="s">
        <v>206</v>
      </c>
      <c r="I63" s="96"/>
    </row>
    <row r="64" spans="1:11" x14ac:dyDescent="0.3">
      <c r="A64" s="96"/>
      <c r="B64" s="96" t="str">
        <f>Ricavi!J65</f>
        <v>Spese trasporto</v>
      </c>
      <c r="C64" s="96" t="str">
        <f>Ricavi!K65</f>
        <v>Others</v>
      </c>
      <c r="D64" s="96">
        <f>Ricavi!L65</f>
        <v>25000</v>
      </c>
      <c r="E64" s="96">
        <v>1</v>
      </c>
      <c r="F64" s="96" t="s">
        <v>287</v>
      </c>
      <c r="G64" s="96">
        <f t="shared" si="0"/>
        <v>25000</v>
      </c>
      <c r="H64" s="96"/>
      <c r="I64" s="96" t="str">
        <f>"Riaccredito trasporti"</f>
        <v>Riaccredito trasporti</v>
      </c>
    </row>
    <row r="65" spans="1:9" x14ac:dyDescent="0.3">
      <c r="A65" s="96"/>
      <c r="B65" s="96" t="str">
        <f>Ricavi!J66</f>
        <v>Premio Year22</v>
      </c>
      <c r="C65" s="96" t="str">
        <f>Ricavi!K66</f>
        <v>Others</v>
      </c>
      <c r="D65" s="96">
        <f>Ricavi!L66</f>
        <v>12</v>
      </c>
      <c r="E65" s="96">
        <f>Ricavi!M66</f>
        <v>18980.987499999999</v>
      </c>
      <c r="F65" s="96" t="s">
        <v>287</v>
      </c>
      <c r="G65" s="96">
        <f>-D65*E65</f>
        <v>-227771.84999999998</v>
      </c>
      <c r="H65" s="96"/>
      <c r="I65" s="96" t="str">
        <f>"Premio clienti (ricavo negativo)"</f>
        <v>Premio clienti (ricavo negativo)</v>
      </c>
    </row>
    <row r="66" spans="1:9" x14ac:dyDescent="0.3">
      <c r="A66" s="96"/>
      <c r="B66" s="96"/>
      <c r="C66" s="96"/>
      <c r="D66" s="96"/>
      <c r="E66" s="96"/>
      <c r="F66" s="96"/>
      <c r="G66" s="96"/>
      <c r="H66" s="96"/>
      <c r="I66" s="96"/>
    </row>
    <row r="67" spans="1:9" x14ac:dyDescent="0.3">
      <c r="A67" s="96"/>
      <c r="B67" s="96"/>
      <c r="C67" s="96"/>
      <c r="D67" s="96"/>
      <c r="E67" s="97" t="s">
        <v>199</v>
      </c>
      <c r="F67" s="97"/>
      <c r="G67" s="97">
        <f>SUM(G3:G65)</f>
        <v>70841980.372306511</v>
      </c>
      <c r="H67" s="96"/>
      <c r="I67" s="9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7A733-1E5A-4C67-BA94-1CEFC4F75056}">
  <dimension ref="B1:P34"/>
  <sheetViews>
    <sheetView zoomScale="60" zoomScaleNormal="60" workbookViewId="0"/>
  </sheetViews>
  <sheetFormatPr defaultColWidth="9.21875" defaultRowHeight="14.4" x14ac:dyDescent="0.3"/>
  <cols>
    <col min="1" max="1" width="2.77734375" style="3" customWidth="1"/>
    <col min="2" max="2" width="62.21875" style="8" customWidth="1"/>
    <col min="3" max="3" width="23.5546875" style="3" bestFit="1" customWidth="1"/>
    <col min="4" max="14" width="10.5546875" style="3" customWidth="1"/>
    <col min="15" max="15" width="12.44140625" style="3" bestFit="1" customWidth="1"/>
    <col min="16" max="16" width="11.5546875" style="3" customWidth="1"/>
    <col min="17" max="16384" width="9.21875" style="3"/>
  </cols>
  <sheetData>
    <row r="1" spans="2:16" ht="15.6" customHeight="1" thickBot="1" x14ac:dyDescent="0.35"/>
    <row r="2" spans="2:16" ht="15" thickBot="1" x14ac:dyDescent="0.35">
      <c r="B2" s="146" t="s">
        <v>134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8"/>
    </row>
    <row r="3" spans="2:16" x14ac:dyDescent="0.25">
      <c r="B3" s="12" t="s">
        <v>120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3"/>
    </row>
    <row r="4" spans="2:16" s="4" customFormat="1" x14ac:dyDescent="0.3">
      <c r="B4" s="1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5"/>
    </row>
    <row r="5" spans="2:16" s="4" customFormat="1" ht="15.6" x14ac:dyDescent="0.3">
      <c r="B5" s="16" t="s">
        <v>177</v>
      </c>
      <c r="C5" s="5" t="s">
        <v>178</v>
      </c>
      <c r="D5" s="5"/>
      <c r="E5" s="5" t="s">
        <v>179</v>
      </c>
      <c r="F5" s="5"/>
      <c r="G5" s="5"/>
      <c r="H5" s="5"/>
      <c r="I5" s="5"/>
      <c r="J5" s="5"/>
      <c r="K5" s="5"/>
      <c r="L5" s="5"/>
      <c r="M5" s="5"/>
      <c r="N5" s="5"/>
      <c r="O5" s="15"/>
    </row>
    <row r="6" spans="2:16" s="4" customFormat="1" x14ac:dyDescent="0.3">
      <c r="B6" s="17" t="s">
        <v>180</v>
      </c>
      <c r="C6" s="6"/>
      <c r="D6" s="6"/>
      <c r="E6" s="83">
        <v>0.93023255813953487</v>
      </c>
      <c r="F6" s="6"/>
      <c r="G6" s="6"/>
      <c r="H6" s="6"/>
      <c r="I6" s="6"/>
      <c r="J6" s="6"/>
      <c r="K6" s="6"/>
      <c r="L6" s="6"/>
      <c r="M6" s="6"/>
      <c r="N6" s="6"/>
      <c r="O6" s="18"/>
    </row>
    <row r="7" spans="2:16" s="4" customFormat="1" x14ac:dyDescent="0.3">
      <c r="B7" s="17" t="s">
        <v>172</v>
      </c>
      <c r="C7" s="6"/>
      <c r="D7" s="6"/>
      <c r="E7" s="83">
        <v>0.63953488372093026</v>
      </c>
      <c r="F7" s="6"/>
      <c r="G7" s="6"/>
      <c r="H7" s="6"/>
      <c r="I7" s="6"/>
      <c r="J7" s="6"/>
      <c r="K7" s="6"/>
      <c r="L7" s="6"/>
      <c r="M7" s="6"/>
      <c r="N7" s="6"/>
      <c r="O7" s="18"/>
    </row>
    <row r="8" spans="2:16" s="4" customFormat="1" x14ac:dyDescent="0.3">
      <c r="B8" s="17" t="s">
        <v>113</v>
      </c>
      <c r="C8" s="6"/>
      <c r="D8" s="6"/>
      <c r="E8" s="6" t="s">
        <v>194</v>
      </c>
      <c r="F8" s="6"/>
      <c r="G8" s="6"/>
      <c r="H8" s="6"/>
      <c r="I8" s="6"/>
      <c r="J8" s="6"/>
      <c r="K8" s="6"/>
      <c r="L8" s="6"/>
      <c r="M8" s="6"/>
      <c r="N8" s="6"/>
      <c r="O8" s="18"/>
    </row>
    <row r="9" spans="2:16" x14ac:dyDescent="0.3">
      <c r="B9" s="19" t="s">
        <v>167</v>
      </c>
      <c r="C9" s="7"/>
      <c r="D9" s="7"/>
      <c r="E9" s="92"/>
      <c r="F9" s="7"/>
      <c r="G9" s="7"/>
      <c r="H9" s="7"/>
      <c r="I9" s="7"/>
      <c r="J9" s="7"/>
      <c r="K9" s="7"/>
      <c r="L9" s="7"/>
      <c r="M9" s="7"/>
      <c r="N9" s="7"/>
      <c r="O9" s="20"/>
    </row>
    <row r="10" spans="2:16" x14ac:dyDescent="0.3">
      <c r="B10" s="17" t="s">
        <v>180</v>
      </c>
      <c r="C10" s="9">
        <v>65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22"/>
    </row>
    <row r="11" spans="2:16" x14ac:dyDescent="0.3">
      <c r="B11" s="17" t="s">
        <v>172</v>
      </c>
      <c r="C11" s="9">
        <v>60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22"/>
    </row>
    <row r="12" spans="2:16" x14ac:dyDescent="0.3">
      <c r="B12" s="21" t="s">
        <v>113</v>
      </c>
      <c r="C12" s="9">
        <v>140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22"/>
      <c r="P12" s="9"/>
    </row>
    <row r="13" spans="2:16" x14ac:dyDescent="0.3">
      <c r="B13" s="21" t="s">
        <v>114</v>
      </c>
      <c r="C13" s="9">
        <v>275000</v>
      </c>
      <c r="D13" s="9" t="s">
        <v>164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22"/>
    </row>
    <row r="14" spans="2:16" x14ac:dyDescent="0.3">
      <c r="B14" s="21"/>
      <c r="O14" s="23"/>
    </row>
    <row r="15" spans="2:16" x14ac:dyDescent="0.3">
      <c r="B15" s="21" t="s">
        <v>165</v>
      </c>
      <c r="O15" s="23"/>
    </row>
    <row r="16" spans="2:16" x14ac:dyDescent="0.3">
      <c r="B16" s="14" t="s">
        <v>183</v>
      </c>
      <c r="O16" s="23"/>
    </row>
    <row r="17" spans="2:16" x14ac:dyDescent="0.3">
      <c r="B17" s="21" t="s">
        <v>174</v>
      </c>
      <c r="O17" s="23"/>
      <c r="P17" s="3" t="s">
        <v>185</v>
      </c>
    </row>
    <row r="18" spans="2:16" x14ac:dyDescent="0.3">
      <c r="B18" s="21" t="s">
        <v>166</v>
      </c>
      <c r="O18" s="23"/>
    </row>
    <row r="19" spans="2:16" x14ac:dyDescent="0.3">
      <c r="B19" s="21" t="s">
        <v>182</v>
      </c>
      <c r="O19" s="23"/>
    </row>
    <row r="20" spans="2:16" x14ac:dyDescent="0.3">
      <c r="B20" s="21" t="s">
        <v>181</v>
      </c>
      <c r="O20" s="23"/>
    </row>
    <row r="21" spans="2:16" x14ac:dyDescent="0.3">
      <c r="B21" s="21"/>
      <c r="O21" s="23"/>
    </row>
    <row r="22" spans="2:16" x14ac:dyDescent="0.3">
      <c r="B22" s="12" t="s">
        <v>75</v>
      </c>
      <c r="O22" s="23"/>
    </row>
    <row r="23" spans="2:16" x14ac:dyDescent="0.3">
      <c r="B23" s="21" t="s">
        <v>171</v>
      </c>
      <c r="O23" s="23"/>
    </row>
    <row r="24" spans="2:16" x14ac:dyDescent="0.3">
      <c r="B24" s="21"/>
      <c r="O24" s="23"/>
    </row>
    <row r="25" spans="2:16" x14ac:dyDescent="0.3">
      <c r="B25" s="12" t="s">
        <v>76</v>
      </c>
      <c r="O25" s="23"/>
    </row>
    <row r="26" spans="2:16" x14ac:dyDescent="0.3">
      <c r="B26" s="21" t="s">
        <v>175</v>
      </c>
      <c r="O26" s="23"/>
    </row>
    <row r="27" spans="2:16" x14ac:dyDescent="0.3">
      <c r="B27" s="21"/>
      <c r="O27" s="23"/>
    </row>
    <row r="28" spans="2:16" x14ac:dyDescent="0.3">
      <c r="B28" s="12" t="s">
        <v>122</v>
      </c>
      <c r="O28" s="23"/>
    </row>
    <row r="29" spans="2:16" x14ac:dyDescent="0.3">
      <c r="B29" s="21" t="s">
        <v>161</v>
      </c>
      <c r="O29" s="23"/>
    </row>
    <row r="30" spans="2:16" x14ac:dyDescent="0.3">
      <c r="B30" s="21" t="s">
        <v>173</v>
      </c>
      <c r="O30" s="23"/>
    </row>
    <row r="31" spans="2:16" x14ac:dyDescent="0.3">
      <c r="B31" s="21" t="s">
        <v>123</v>
      </c>
      <c r="O31" s="23"/>
    </row>
    <row r="32" spans="2:16" x14ac:dyDescent="0.3">
      <c r="B32" s="21"/>
      <c r="O32" s="23"/>
    </row>
    <row r="33" spans="2:15" x14ac:dyDescent="0.3">
      <c r="B33" s="12" t="s">
        <v>121</v>
      </c>
      <c r="O33" s="23"/>
    </row>
    <row r="34" spans="2:15" ht="15" thickBot="1" x14ac:dyDescent="0.35">
      <c r="B34" s="24" t="s">
        <v>125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6"/>
    </row>
  </sheetData>
  <mergeCells count="1">
    <mergeCell ref="B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61E9C-EC3D-49DF-83B5-89D531594792}">
  <dimension ref="A1:I45"/>
  <sheetViews>
    <sheetView topLeftCell="A7" zoomScale="70" zoomScaleNormal="70" workbookViewId="0">
      <selection activeCell="G10" sqref="G10"/>
    </sheetView>
  </sheetViews>
  <sheetFormatPr defaultRowHeight="14.4" x14ac:dyDescent="0.3"/>
  <cols>
    <col min="2" max="2" width="34.21875" bestFit="1" customWidth="1"/>
    <col min="3" max="3" width="13.109375" bestFit="1" customWidth="1"/>
    <col min="4" max="5" width="12.77734375" bestFit="1" customWidth="1"/>
    <col min="6" max="6" width="26.21875" bestFit="1" customWidth="1"/>
    <col min="7" max="7" width="20.5546875" bestFit="1" customWidth="1"/>
    <col min="8" max="8" width="18.21875" customWidth="1"/>
    <col min="9" max="9" width="13.109375" bestFit="1" customWidth="1"/>
  </cols>
  <sheetData>
    <row r="1" spans="1:9" x14ac:dyDescent="0.3">
      <c r="A1" s="96"/>
      <c r="B1" s="96"/>
      <c r="C1" s="96"/>
      <c r="D1" s="96"/>
      <c r="E1" s="96"/>
      <c r="F1" s="96"/>
      <c r="G1" s="96"/>
      <c r="H1" s="96"/>
    </row>
    <row r="2" spans="1:9" x14ac:dyDescent="0.3">
      <c r="A2" s="96"/>
      <c r="B2" s="96" t="s">
        <v>213</v>
      </c>
      <c r="C2" s="96">
        <f>3450000</f>
        <v>3450000</v>
      </c>
      <c r="D2" s="96"/>
      <c r="E2" s="96"/>
      <c r="F2" s="96"/>
      <c r="G2" s="96"/>
      <c r="H2" s="96"/>
    </row>
    <row r="3" spans="1:9" x14ac:dyDescent="0.3">
      <c r="A3" s="96"/>
      <c r="B3" s="96" t="s">
        <v>214</v>
      </c>
      <c r="C3" s="96">
        <v>0.41</v>
      </c>
      <c r="D3" s="96"/>
      <c r="E3" s="96" t="s">
        <v>200</v>
      </c>
      <c r="F3" s="96" t="s">
        <v>211</v>
      </c>
      <c r="G3" s="96" t="s">
        <v>212</v>
      </c>
      <c r="H3" s="96" t="s">
        <v>301</v>
      </c>
      <c r="I3" s="96" t="s">
        <v>302</v>
      </c>
    </row>
    <row r="4" spans="1:9" x14ac:dyDescent="0.3">
      <c r="A4" s="96"/>
      <c r="B4" s="96" t="s">
        <v>215</v>
      </c>
      <c r="C4" s="96">
        <f>1-C3</f>
        <v>0.59000000000000008</v>
      </c>
      <c r="D4" s="96"/>
      <c r="E4" s="96" t="s">
        <v>113</v>
      </c>
      <c r="F4" s="96">
        <f>SUMIF(RicaviBudget!$H:$H,"P",RicaviBudget!$D:$D)</f>
        <v>14624683</v>
      </c>
      <c r="G4" s="96">
        <f>F4/1000</f>
        <v>14624.683000000001</v>
      </c>
      <c r="H4" s="96">
        <f>C23*G4*C24</f>
        <v>1343277.1335500001</v>
      </c>
      <c r="I4" s="107">
        <f>G4*(C26+C22*C27)</f>
        <v>3512848.8566000001</v>
      </c>
    </row>
    <row r="5" spans="1:9" x14ac:dyDescent="0.3">
      <c r="A5" s="96"/>
      <c r="B5" s="96" t="s">
        <v>216</v>
      </c>
      <c r="C5" s="96">
        <v>8997222.2200000007</v>
      </c>
      <c r="D5" s="96"/>
      <c r="E5" s="96" t="s">
        <v>208</v>
      </c>
      <c r="F5" s="96">
        <f>SUMIF(RicaviBudget!$H:$H,"V",RicaviBudget!$D:$D)</f>
        <v>6470002</v>
      </c>
      <c r="G5" s="96">
        <f t="shared" ref="G5:G6" si="0">F5/1000</f>
        <v>6470.0020000000004</v>
      </c>
      <c r="H5" s="96">
        <f>C21*G5*C24</f>
        <v>355850.11000000004</v>
      </c>
      <c r="I5" s="107">
        <f>G5*C27</f>
        <v>388200.12</v>
      </c>
    </row>
    <row r="6" spans="1:9" x14ac:dyDescent="0.3">
      <c r="A6" s="96"/>
      <c r="B6" s="96" t="s">
        <v>217</v>
      </c>
      <c r="C6" s="96">
        <v>4300000</v>
      </c>
      <c r="D6" s="96"/>
      <c r="E6" s="96" t="s">
        <v>209</v>
      </c>
      <c r="F6" s="96">
        <f>SUMIF(RicaviBudget!$H:$H,"A",RicaviBudget!$D:$CE)+SUMIF(RicaviBudget!$H:$H,"PCL",RicaviBudget!$D:$CE)</f>
        <v>12975111.99</v>
      </c>
      <c r="G6" s="96">
        <f t="shared" si="0"/>
        <v>12975.111989999999</v>
      </c>
      <c r="H6" s="96">
        <f>G6*C20*C24</f>
        <v>1038008.9592</v>
      </c>
      <c r="I6" s="107">
        <f>G6*C28</f>
        <v>843382.27934999997</v>
      </c>
    </row>
    <row r="7" spans="1:9" x14ac:dyDescent="0.3">
      <c r="A7" s="96"/>
      <c r="B7" s="96"/>
      <c r="C7" s="96"/>
      <c r="D7" s="96"/>
      <c r="E7" s="96" t="s">
        <v>210</v>
      </c>
      <c r="F7" s="96">
        <f xml:space="preserve"> SUM(F4:F6)</f>
        <v>34069796.990000002</v>
      </c>
      <c r="G7" s="96">
        <f>G6+G5+G4</f>
        <v>34069.796990000003</v>
      </c>
      <c r="H7" s="96"/>
    </row>
    <row r="8" spans="1:9" x14ac:dyDescent="0.3">
      <c r="A8" s="96"/>
      <c r="B8" s="96" t="s">
        <v>218</v>
      </c>
      <c r="C8" s="96">
        <f>C2*C3</f>
        <v>1414500</v>
      </c>
      <c r="D8" s="96"/>
      <c r="E8" s="96"/>
      <c r="F8" s="96" t="s">
        <v>198</v>
      </c>
      <c r="G8" s="96" t="s">
        <v>202</v>
      </c>
      <c r="H8" s="96" t="s">
        <v>201</v>
      </c>
    </row>
    <row r="9" spans="1:9" x14ac:dyDescent="0.3">
      <c r="A9" s="96"/>
      <c r="B9" s="96" t="s">
        <v>219</v>
      </c>
      <c r="C9" s="96">
        <f>C2*C4</f>
        <v>2035500.0000000002</v>
      </c>
      <c r="D9" s="96"/>
      <c r="E9" s="96"/>
      <c r="F9" s="96" t="s">
        <v>226</v>
      </c>
      <c r="G9" s="96">
        <f>(H4+H5+H6)*C18</f>
        <v>1477079.6382314637</v>
      </c>
      <c r="H9" s="96"/>
    </row>
    <row r="10" spans="1:9" x14ac:dyDescent="0.3">
      <c r="A10" s="96"/>
      <c r="B10" s="96"/>
      <c r="C10" s="96"/>
      <c r="D10" s="96"/>
      <c r="E10" s="96"/>
      <c r="F10" s="96" t="s">
        <v>227</v>
      </c>
      <c r="G10" s="96">
        <f>(I4+I5+I6+C30)*C17</f>
        <v>1403824.5342806277</v>
      </c>
      <c r="H10" s="96"/>
    </row>
    <row r="11" spans="1:9" x14ac:dyDescent="0.3">
      <c r="A11" s="96"/>
      <c r="B11" s="96" t="s">
        <v>220</v>
      </c>
      <c r="C11" s="96">
        <f>C8/C5</f>
        <v>0.15721518991224825</v>
      </c>
      <c r="D11" s="96"/>
      <c r="E11" s="96"/>
      <c r="F11" s="96" t="s">
        <v>228</v>
      </c>
      <c r="G11" s="96">
        <f>-'CE 21-22'!F15 *1.025</f>
        <v>153750</v>
      </c>
      <c r="H11" s="96"/>
    </row>
    <row r="12" spans="1:9" x14ac:dyDescent="0.3">
      <c r="A12" s="96"/>
      <c r="B12" s="96" t="s">
        <v>221</v>
      </c>
      <c r="C12" s="96">
        <f>C9/C6</f>
        <v>0.47337209302325589</v>
      </c>
      <c r="D12" s="96"/>
      <c r="E12" s="96"/>
      <c r="F12" s="96" t="s">
        <v>229</v>
      </c>
      <c r="G12" s="96">
        <f>(G5+G6+G4*C22)*C32</f>
        <v>449211.74630400003</v>
      </c>
    </row>
    <row r="13" spans="1:9" x14ac:dyDescent="0.3">
      <c r="A13" s="96"/>
      <c r="B13" s="96"/>
      <c r="C13" s="96"/>
      <c r="D13" s="96"/>
      <c r="E13" s="110"/>
      <c r="F13" s="96" t="s">
        <v>230</v>
      </c>
      <c r="G13" s="96">
        <f>G7*C36</f>
        <v>1471815.2299680002</v>
      </c>
    </row>
    <row r="14" spans="1:9" x14ac:dyDescent="0.3">
      <c r="A14" s="96"/>
      <c r="B14" s="96" t="s">
        <v>222</v>
      </c>
      <c r="C14" s="96">
        <v>0.11</v>
      </c>
      <c r="D14" s="96"/>
      <c r="E14" s="96"/>
      <c r="F14" s="96" t="s">
        <v>231</v>
      </c>
      <c r="G14" s="96">
        <f>(SUMIF(RicaviBudget!$H:$H,"P",RicaviBudget!$G:$G))*C38</f>
        <v>867798.34033418808</v>
      </c>
    </row>
    <row r="15" spans="1:9" x14ac:dyDescent="0.3">
      <c r="A15" s="96"/>
      <c r="B15" s="96" t="s">
        <v>223</v>
      </c>
      <c r="C15" s="96">
        <v>0.14000000000000001</v>
      </c>
      <c r="D15" s="96"/>
      <c r="E15" s="96"/>
      <c r="F15" s="96" t="s">
        <v>236</v>
      </c>
      <c r="G15" s="96">
        <f>C44*C45</f>
        <v>564932.18138154072</v>
      </c>
      <c r="H15" s="96"/>
    </row>
    <row r="16" spans="1:9" x14ac:dyDescent="0.3">
      <c r="A16" s="96"/>
      <c r="B16" s="96"/>
      <c r="C16" s="96"/>
      <c r="D16" s="96"/>
      <c r="E16" s="96"/>
      <c r="F16" s="96"/>
      <c r="G16" s="96"/>
      <c r="H16" s="96"/>
    </row>
    <row r="17" spans="1:8" x14ac:dyDescent="0.3">
      <c r="A17" s="96"/>
      <c r="B17" s="96" t="s">
        <v>224</v>
      </c>
      <c r="C17" s="96">
        <f>C11*(1+C14)</f>
        <v>0.17450886080259559</v>
      </c>
      <c r="D17" s="96"/>
      <c r="E17" s="96"/>
      <c r="F17" s="97" t="s">
        <v>232</v>
      </c>
      <c r="G17" s="97">
        <f>SUM(G9:G15)</f>
        <v>6388411.6704998203</v>
      </c>
      <c r="H17" s="96"/>
    </row>
    <row r="18" spans="1:8" x14ac:dyDescent="0.3">
      <c r="A18" s="96"/>
      <c r="B18" s="96" t="s">
        <v>225</v>
      </c>
      <c r="C18" s="96">
        <f>C12*(1+C15)</f>
        <v>0.53964418604651176</v>
      </c>
      <c r="D18" s="96"/>
      <c r="E18" s="96"/>
      <c r="F18" s="96"/>
      <c r="G18" s="96"/>
      <c r="H18" s="96"/>
    </row>
    <row r="19" spans="1:8" x14ac:dyDescent="0.3">
      <c r="A19" s="96"/>
      <c r="B19" s="96"/>
      <c r="C19" s="96"/>
      <c r="D19" s="96"/>
      <c r="E19" s="96"/>
      <c r="F19" s="96"/>
      <c r="G19" s="96"/>
      <c r="H19" s="96"/>
    </row>
    <row r="20" spans="1:8" x14ac:dyDescent="0.3">
      <c r="A20" s="96"/>
      <c r="B20" s="96" t="s">
        <v>299</v>
      </c>
      <c r="C20" s="96">
        <f>VariableCosts!E6</f>
        <v>0.93023255813953487</v>
      </c>
      <c r="D20" s="96"/>
      <c r="E20" s="96"/>
      <c r="F20" s="96"/>
      <c r="G20" s="96"/>
      <c r="H20" s="96"/>
    </row>
    <row r="21" spans="1:8" x14ac:dyDescent="0.3">
      <c r="A21" s="96"/>
      <c r="B21" s="96" t="s">
        <v>300</v>
      </c>
      <c r="C21" s="96">
        <f>VariableCosts!E7</f>
        <v>0.63953488372093026</v>
      </c>
      <c r="D21" s="96"/>
      <c r="E21" s="96"/>
      <c r="F21" s="96"/>
      <c r="G21" s="96"/>
      <c r="H21" s="96"/>
    </row>
    <row r="22" spans="1:8" x14ac:dyDescent="0.3">
      <c r="A22" s="96"/>
      <c r="B22" s="96" t="s">
        <v>274</v>
      </c>
      <c r="C22">
        <v>1.67</v>
      </c>
      <c r="D22" s="96"/>
      <c r="E22" s="96"/>
      <c r="F22" s="96"/>
      <c r="G22" s="96"/>
      <c r="H22" s="96"/>
    </row>
    <row r="23" spans="1:8" x14ac:dyDescent="0.3">
      <c r="A23" s="96"/>
      <c r="B23" s="96" t="s">
        <v>276</v>
      </c>
      <c r="C23" s="106">
        <f>C22*C21</f>
        <v>1.0680232558139535</v>
      </c>
      <c r="D23" s="96"/>
      <c r="E23" s="96"/>
      <c r="F23" s="96"/>
      <c r="G23" s="96"/>
      <c r="H23" s="96"/>
    </row>
    <row r="24" spans="1:8" x14ac:dyDescent="0.3">
      <c r="B24" s="96" t="s">
        <v>249</v>
      </c>
      <c r="C24" s="96">
        <v>86</v>
      </c>
    </row>
    <row r="25" spans="1:8" x14ac:dyDescent="0.3">
      <c r="C25" s="96"/>
    </row>
    <row r="26" spans="1:8" x14ac:dyDescent="0.3">
      <c r="B26" s="96" t="s">
        <v>275</v>
      </c>
      <c r="C26" s="96">
        <f>VariableCosts!C12</f>
        <v>140</v>
      </c>
    </row>
    <row r="27" spans="1:8" x14ac:dyDescent="0.3">
      <c r="B27" s="96" t="s">
        <v>250</v>
      </c>
      <c r="C27" s="96">
        <f>VariableCosts!C11</f>
        <v>60</v>
      </c>
    </row>
    <row r="28" spans="1:8" x14ac:dyDescent="0.3">
      <c r="B28" s="96" t="s">
        <v>251</v>
      </c>
      <c r="C28" s="96">
        <f>VariableCosts!C10</f>
        <v>65</v>
      </c>
    </row>
    <row r="29" spans="1:8" x14ac:dyDescent="0.3">
      <c r="B29" s="96" t="s">
        <v>264</v>
      </c>
      <c r="C29" s="96">
        <f>VariableCosts!C13</f>
        <v>275000</v>
      </c>
    </row>
    <row r="30" spans="1:8" x14ac:dyDescent="0.3">
      <c r="B30" s="96" t="s">
        <v>265</v>
      </c>
      <c r="C30" s="96">
        <f>C29*12</f>
        <v>3300000</v>
      </c>
    </row>
    <row r="32" spans="1:8" x14ac:dyDescent="0.3">
      <c r="B32" s="96" t="s">
        <v>266</v>
      </c>
      <c r="C32" s="96">
        <v>10.24</v>
      </c>
    </row>
    <row r="34" spans="2:3" x14ac:dyDescent="0.3">
      <c r="B34" s="96" t="s">
        <v>267</v>
      </c>
      <c r="C34" s="96">
        <v>40</v>
      </c>
    </row>
    <row r="35" spans="2:3" x14ac:dyDescent="0.3">
      <c r="B35" t="s">
        <v>268</v>
      </c>
      <c r="C35" s="96">
        <v>0.08</v>
      </c>
    </row>
    <row r="36" spans="2:3" x14ac:dyDescent="0.3">
      <c r="B36" s="96" t="s">
        <v>269</v>
      </c>
      <c r="C36">
        <f>C34*(1+C35)</f>
        <v>43.2</v>
      </c>
    </row>
    <row r="38" spans="2:3" x14ac:dyDescent="0.3">
      <c r="B38" t="s">
        <v>270</v>
      </c>
      <c r="C38" s="96">
        <v>0.02</v>
      </c>
    </row>
    <row r="40" spans="2:3" x14ac:dyDescent="0.3">
      <c r="B40" s="96" t="s">
        <v>233</v>
      </c>
      <c r="C40" s="96">
        <f>G4*C23</f>
        <v>15619.501552906979</v>
      </c>
    </row>
    <row r="41" spans="2:3" x14ac:dyDescent="0.3">
      <c r="B41" s="96" t="s">
        <v>273</v>
      </c>
      <c r="C41" s="96">
        <f>G5*C21</f>
        <v>4137.7919767441863</v>
      </c>
    </row>
    <row r="42" spans="2:3" x14ac:dyDescent="0.3">
      <c r="B42" s="96" t="s">
        <v>272</v>
      </c>
      <c r="C42" s="107">
        <f>G6*C20</f>
        <v>12069.871618604651</v>
      </c>
    </row>
    <row r="43" spans="2:3" x14ac:dyDescent="0.3">
      <c r="B43" s="96" t="s">
        <v>234</v>
      </c>
      <c r="C43" s="96">
        <f>C41+C40+C42</f>
        <v>31827.165148255815</v>
      </c>
    </row>
    <row r="44" spans="2:3" x14ac:dyDescent="0.3">
      <c r="B44" s="96" t="s">
        <v>235</v>
      </c>
      <c r="C44" s="96">
        <f>C43*0.25</f>
        <v>7956.7912870639539</v>
      </c>
    </row>
    <row r="45" spans="2:3" x14ac:dyDescent="0.3">
      <c r="B45" s="96" t="s">
        <v>252</v>
      </c>
      <c r="C45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2D69-4CDB-4944-95A7-150A65922A87}">
  <dimension ref="B1:B28"/>
  <sheetViews>
    <sheetView zoomScale="70" zoomScaleNormal="70" workbookViewId="0"/>
  </sheetViews>
  <sheetFormatPr defaultColWidth="8.77734375" defaultRowHeight="14.4" x14ac:dyDescent="0.3"/>
  <cols>
    <col min="1" max="1" width="2.77734375" style="1" customWidth="1"/>
    <col min="2" max="2" width="123.21875" style="1" bestFit="1" customWidth="1"/>
    <col min="3" max="16384" width="8.77734375" style="1"/>
  </cols>
  <sheetData>
    <row r="1" spans="2:2" ht="15" thickBot="1" x14ac:dyDescent="0.35"/>
    <row r="2" spans="2:2" ht="15" thickBot="1" x14ac:dyDescent="0.35">
      <c r="B2" s="41" t="s">
        <v>135</v>
      </c>
    </row>
    <row r="3" spans="2:2" x14ac:dyDescent="0.3">
      <c r="B3" s="76" t="s">
        <v>82</v>
      </c>
    </row>
    <row r="4" spans="2:2" x14ac:dyDescent="0.3">
      <c r="B4" s="33" t="s">
        <v>168</v>
      </c>
    </row>
    <row r="5" spans="2:2" x14ac:dyDescent="0.3">
      <c r="B5" s="33"/>
    </row>
    <row r="6" spans="2:2" x14ac:dyDescent="0.3">
      <c r="B6" s="76" t="s">
        <v>83</v>
      </c>
    </row>
    <row r="7" spans="2:2" x14ac:dyDescent="0.3">
      <c r="B7" s="33" t="s">
        <v>126</v>
      </c>
    </row>
    <row r="8" spans="2:2" x14ac:dyDescent="0.3">
      <c r="B8" s="33"/>
    </row>
    <row r="9" spans="2:2" x14ac:dyDescent="0.3">
      <c r="B9" s="76" t="s">
        <v>84</v>
      </c>
    </row>
    <row r="10" spans="2:2" x14ac:dyDescent="0.3">
      <c r="B10" s="32" t="s">
        <v>128</v>
      </c>
    </row>
    <row r="11" spans="2:2" x14ac:dyDescent="0.3">
      <c r="B11" s="32"/>
    </row>
    <row r="12" spans="2:2" x14ac:dyDescent="0.3">
      <c r="B12" s="76" t="s">
        <v>85</v>
      </c>
    </row>
    <row r="13" spans="2:2" x14ac:dyDescent="0.3">
      <c r="B13" s="32" t="s">
        <v>128</v>
      </c>
    </row>
    <row r="14" spans="2:2" x14ac:dyDescent="0.3">
      <c r="B14" s="33"/>
    </row>
    <row r="15" spans="2:2" x14ac:dyDescent="0.3">
      <c r="B15" s="76" t="s">
        <v>86</v>
      </c>
    </row>
    <row r="16" spans="2:2" x14ac:dyDescent="0.3">
      <c r="B16" s="32" t="s">
        <v>128</v>
      </c>
    </row>
    <row r="17" spans="2:2" x14ac:dyDescent="0.3">
      <c r="B17" s="33"/>
    </row>
    <row r="18" spans="2:2" x14ac:dyDescent="0.3">
      <c r="B18" s="76" t="s">
        <v>87</v>
      </c>
    </row>
    <row r="19" spans="2:2" x14ac:dyDescent="0.3">
      <c r="B19" s="32" t="s">
        <v>128</v>
      </c>
    </row>
    <row r="20" spans="2:2" x14ac:dyDescent="0.3">
      <c r="B20" s="77"/>
    </row>
    <row r="21" spans="2:2" x14ac:dyDescent="0.3">
      <c r="B21" s="76" t="s">
        <v>89</v>
      </c>
    </row>
    <row r="22" spans="2:2" x14ac:dyDescent="0.3">
      <c r="B22" s="32" t="s">
        <v>128</v>
      </c>
    </row>
    <row r="23" spans="2:2" x14ac:dyDescent="0.3">
      <c r="B23" s="33"/>
    </row>
    <row r="24" spans="2:2" x14ac:dyDescent="0.3">
      <c r="B24" s="76" t="s">
        <v>90</v>
      </c>
    </row>
    <row r="25" spans="2:2" x14ac:dyDescent="0.3">
      <c r="B25" s="32" t="s">
        <v>128</v>
      </c>
    </row>
    <row r="26" spans="2:2" x14ac:dyDescent="0.3">
      <c r="B26" s="33"/>
    </row>
    <row r="27" spans="2:2" x14ac:dyDescent="0.3">
      <c r="B27" s="76" t="s">
        <v>91</v>
      </c>
    </row>
    <row r="28" spans="2:2" ht="15" thickBot="1" x14ac:dyDescent="0.35">
      <c r="B28" s="34" t="s">
        <v>128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1E3B-0C1C-4993-9177-FBCEDBD20284}">
  <dimension ref="B2:D27"/>
  <sheetViews>
    <sheetView zoomScale="94" zoomScaleNormal="60" workbookViewId="0">
      <selection activeCell="C27" sqref="C27"/>
    </sheetView>
  </sheetViews>
  <sheetFormatPr defaultRowHeight="14.4" x14ac:dyDescent="0.3"/>
  <cols>
    <col min="2" max="2" width="41.77734375" bestFit="1" customWidth="1"/>
    <col min="3" max="3" width="11.77734375" bestFit="1" customWidth="1"/>
    <col min="4" max="4" width="54.5546875" bestFit="1" customWidth="1"/>
    <col min="6" max="6" width="9.21875" customWidth="1"/>
  </cols>
  <sheetData>
    <row r="2" spans="2:4" x14ac:dyDescent="0.3">
      <c r="D2" t="s">
        <v>198</v>
      </c>
    </row>
    <row r="3" spans="2:4" x14ac:dyDescent="0.3">
      <c r="B3" t="s">
        <v>237</v>
      </c>
      <c r="C3" s="96">
        <f>-'CE 21-22'!F22+50*12*100*1.4</f>
        <v>5594785.9100000001</v>
      </c>
      <c r="D3" t="s">
        <v>271</v>
      </c>
    </row>
    <row r="4" spans="2:4" x14ac:dyDescent="0.3">
      <c r="C4" s="96"/>
    </row>
    <row r="5" spans="2:4" x14ac:dyDescent="0.3">
      <c r="B5" t="s">
        <v>238</v>
      </c>
      <c r="C5" s="96">
        <f>-'CE 21-22'!F23-150000</f>
        <v>1050000</v>
      </c>
    </row>
    <row r="6" spans="2:4" x14ac:dyDescent="0.3">
      <c r="C6" s="96"/>
    </row>
    <row r="7" spans="2:4" x14ac:dyDescent="0.3">
      <c r="B7" t="s">
        <v>239</v>
      </c>
      <c r="C7" s="96">
        <f>-'CE 21-22'!F24*1.025</f>
        <v>307500</v>
      </c>
    </row>
    <row r="8" spans="2:4" x14ac:dyDescent="0.3">
      <c r="C8" s="96"/>
    </row>
    <row r="9" spans="2:4" x14ac:dyDescent="0.3">
      <c r="B9" t="s">
        <v>240</v>
      </c>
      <c r="C9" s="96">
        <f>-'CE 21-22'!F25*1.025</f>
        <v>151700</v>
      </c>
    </row>
    <row r="10" spans="2:4" x14ac:dyDescent="0.3">
      <c r="C10" s="96"/>
    </row>
    <row r="11" spans="2:4" x14ac:dyDescent="0.3">
      <c r="B11" t="s">
        <v>241</v>
      </c>
      <c r="C11" s="96">
        <f>-'CE 21-22'!F26*1.025</f>
        <v>309550</v>
      </c>
    </row>
    <row r="12" spans="2:4" x14ac:dyDescent="0.3">
      <c r="C12" s="96"/>
    </row>
    <row r="13" spans="2:4" x14ac:dyDescent="0.3">
      <c r="B13" t="s">
        <v>242</v>
      </c>
      <c r="C13" s="96">
        <f>-'CE 21-22'!F27*1.025</f>
        <v>212174.99999999997</v>
      </c>
    </row>
    <row r="14" spans="2:4" x14ac:dyDescent="0.3">
      <c r="C14" s="96"/>
    </row>
    <row r="15" spans="2:4" x14ac:dyDescent="0.3">
      <c r="B15" s="93" t="s">
        <v>246</v>
      </c>
      <c r="C15" s="97">
        <f>SUM(C13+C11+C9+C7+C5+C3)</f>
        <v>7625710.9100000001</v>
      </c>
    </row>
    <row r="16" spans="2:4" x14ac:dyDescent="0.3">
      <c r="C16" s="96"/>
    </row>
    <row r="17" spans="2:3" x14ac:dyDescent="0.3">
      <c r="C17" s="96"/>
    </row>
    <row r="18" spans="2:3" x14ac:dyDescent="0.3">
      <c r="B18" t="s">
        <v>243</v>
      </c>
      <c r="C18" s="96">
        <f>-'CE 21-22'!F29*1.025</f>
        <v>563750</v>
      </c>
    </row>
    <row r="19" spans="2:3" x14ac:dyDescent="0.3">
      <c r="C19" s="96"/>
    </row>
    <row r="20" spans="2:3" x14ac:dyDescent="0.3">
      <c r="B20" s="94" t="s">
        <v>244</v>
      </c>
      <c r="C20" s="96">
        <f>-'CE 21-22'!F30*1.025</f>
        <v>307500</v>
      </c>
    </row>
    <row r="21" spans="2:3" x14ac:dyDescent="0.3">
      <c r="C21" s="96"/>
    </row>
    <row r="22" spans="2:3" x14ac:dyDescent="0.3">
      <c r="B22" t="s">
        <v>245</v>
      </c>
      <c r="C22" s="96">
        <f>-'CE 21-22'!F31*1.025</f>
        <v>102499.99999999999</v>
      </c>
    </row>
    <row r="23" spans="2:3" x14ac:dyDescent="0.3">
      <c r="C23" s="96"/>
    </row>
    <row r="24" spans="2:3" x14ac:dyDescent="0.3">
      <c r="B24" s="93" t="s">
        <v>247</v>
      </c>
      <c r="C24" s="97">
        <f>SUM(C18+C20+C22)</f>
        <v>973750</v>
      </c>
    </row>
    <row r="25" spans="2:3" x14ac:dyDescent="0.3">
      <c r="C25" s="96"/>
    </row>
    <row r="26" spans="2:3" x14ac:dyDescent="0.3">
      <c r="C26" s="96"/>
    </row>
    <row r="27" spans="2:3" x14ac:dyDescent="0.3">
      <c r="B27" s="93" t="s">
        <v>248</v>
      </c>
      <c r="C27" s="97">
        <f>SUM(C24+C15)</f>
        <v>8599460.9100000001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4C4D-8FA0-4227-922B-636E2D04E620}">
  <dimension ref="B1:I28"/>
  <sheetViews>
    <sheetView workbookViewId="0">
      <selection activeCell="B4" sqref="B4"/>
    </sheetView>
  </sheetViews>
  <sheetFormatPr defaultColWidth="8.77734375" defaultRowHeight="14.4" x14ac:dyDescent="0.3"/>
  <cols>
    <col min="1" max="1" width="2.77734375" style="1" customWidth="1"/>
    <col min="2" max="2" width="70.44140625" style="1" bestFit="1" customWidth="1"/>
    <col min="3" max="16384" width="8.77734375" style="1"/>
  </cols>
  <sheetData>
    <row r="1" spans="2:9" ht="15" thickBot="1" x14ac:dyDescent="0.35"/>
    <row r="2" spans="2:9" ht="15" thickBot="1" x14ac:dyDescent="0.35">
      <c r="B2" s="41" t="s">
        <v>136</v>
      </c>
    </row>
    <row r="3" spans="2:9" x14ac:dyDescent="0.3">
      <c r="B3" s="31" t="s">
        <v>94</v>
      </c>
    </row>
    <row r="4" spans="2:9" x14ac:dyDescent="0.3">
      <c r="B4" s="95" t="s">
        <v>176</v>
      </c>
      <c r="C4" s="1" t="s">
        <v>186</v>
      </c>
    </row>
    <row r="5" spans="2:9" x14ac:dyDescent="0.3">
      <c r="B5" s="32"/>
      <c r="C5" s="1" t="s">
        <v>187</v>
      </c>
    </row>
    <row r="6" spans="2:9" x14ac:dyDescent="0.3">
      <c r="B6" s="31" t="s">
        <v>95</v>
      </c>
      <c r="C6" s="1" t="s">
        <v>188</v>
      </c>
    </row>
    <row r="7" spans="2:9" x14ac:dyDescent="0.3">
      <c r="B7" s="32" t="s">
        <v>127</v>
      </c>
    </row>
    <row r="8" spans="2:9" x14ac:dyDescent="0.3">
      <c r="B8" s="32"/>
    </row>
    <row r="9" spans="2:9" x14ac:dyDescent="0.3">
      <c r="B9" s="31" t="s">
        <v>96</v>
      </c>
    </row>
    <row r="10" spans="2:9" x14ac:dyDescent="0.3">
      <c r="B10" s="33" t="s">
        <v>130</v>
      </c>
    </row>
    <row r="11" spans="2:9" x14ac:dyDescent="0.3">
      <c r="B11" s="33"/>
    </row>
    <row r="12" spans="2:9" x14ac:dyDescent="0.3">
      <c r="B12" s="31" t="s">
        <v>99</v>
      </c>
    </row>
    <row r="13" spans="2:9" x14ac:dyDescent="0.3">
      <c r="B13" s="32" t="s">
        <v>160</v>
      </c>
      <c r="C13" s="1" t="s">
        <v>189</v>
      </c>
      <c r="I13" s="1" t="s">
        <v>190</v>
      </c>
    </row>
    <row r="14" spans="2:9" x14ac:dyDescent="0.3">
      <c r="B14" s="32"/>
    </row>
    <row r="15" spans="2:9" x14ac:dyDescent="0.3">
      <c r="B15" s="31" t="s">
        <v>100</v>
      </c>
    </row>
    <row r="16" spans="2:9" x14ac:dyDescent="0.3">
      <c r="B16" s="32" t="s">
        <v>131</v>
      </c>
    </row>
    <row r="17" spans="2:2" x14ac:dyDescent="0.3">
      <c r="B17" s="32"/>
    </row>
    <row r="18" spans="2:2" x14ac:dyDescent="0.3">
      <c r="B18" s="31" t="s">
        <v>103</v>
      </c>
    </row>
    <row r="19" spans="2:2" x14ac:dyDescent="0.3">
      <c r="B19" s="32" t="s">
        <v>132</v>
      </c>
    </row>
    <row r="20" spans="2:2" x14ac:dyDescent="0.3">
      <c r="B20" s="32"/>
    </row>
    <row r="21" spans="2:2" x14ac:dyDescent="0.3">
      <c r="B21" s="31" t="s">
        <v>104</v>
      </c>
    </row>
    <row r="22" spans="2:2" x14ac:dyDescent="0.3">
      <c r="B22" s="32" t="s">
        <v>133</v>
      </c>
    </row>
    <row r="23" spans="2:2" x14ac:dyDescent="0.3">
      <c r="B23" s="32"/>
    </row>
    <row r="24" spans="2:2" x14ac:dyDescent="0.3">
      <c r="B24" s="31" t="s">
        <v>105</v>
      </c>
    </row>
    <row r="25" spans="2:2" x14ac:dyDescent="0.3">
      <c r="B25" s="33" t="s">
        <v>129</v>
      </c>
    </row>
    <row r="26" spans="2:2" x14ac:dyDescent="0.3">
      <c r="B26" s="33"/>
    </row>
    <row r="27" spans="2:2" x14ac:dyDescent="0.3">
      <c r="B27" s="31" t="s">
        <v>108</v>
      </c>
    </row>
    <row r="28" spans="2:2" ht="15" thickBot="1" x14ac:dyDescent="0.35">
      <c r="B28" s="34" t="s">
        <v>163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E109-08EA-4B02-B169-2F563F62FEDC}">
  <dimension ref="A1:D24"/>
  <sheetViews>
    <sheetView workbookViewId="0">
      <selection activeCell="C19" sqref="C19"/>
    </sheetView>
  </sheetViews>
  <sheetFormatPr defaultRowHeight="14.4" x14ac:dyDescent="0.3"/>
  <cols>
    <col min="2" max="2" width="41.77734375" bestFit="1" customWidth="1"/>
    <col min="3" max="3" width="12.77734375" bestFit="1" customWidth="1"/>
    <col min="4" max="4" width="75.44140625" bestFit="1" customWidth="1"/>
    <col min="5" max="5" width="34" customWidth="1"/>
  </cols>
  <sheetData>
    <row r="1" spans="1:4" x14ac:dyDescent="0.3">
      <c r="A1" s="96"/>
      <c r="B1" s="96"/>
      <c r="C1" s="96"/>
      <c r="D1" s="96"/>
    </row>
    <row r="2" spans="1:4" x14ac:dyDescent="0.3">
      <c r="A2" s="96"/>
      <c r="B2" s="96"/>
      <c r="C2" s="96"/>
      <c r="D2" s="96" t="s">
        <v>253</v>
      </c>
    </row>
    <row r="3" spans="1:4" x14ac:dyDescent="0.3">
      <c r="A3" s="96"/>
      <c r="B3" s="96" t="s">
        <v>254</v>
      </c>
      <c r="C3" s="96">
        <f>-'CE 21-22'!F34</f>
        <v>200000</v>
      </c>
      <c r="D3" s="96"/>
    </row>
    <row r="4" spans="1:4" x14ac:dyDescent="0.3">
      <c r="A4" s="96"/>
      <c r="B4" s="96"/>
      <c r="C4" s="96"/>
      <c r="D4" s="96"/>
    </row>
    <row r="5" spans="1:4" x14ac:dyDescent="0.3">
      <c r="A5" s="96"/>
      <c r="B5" s="96" t="s">
        <v>255</v>
      </c>
      <c r="C5" s="96">
        <f>-'CE 21-22'!F35 +C23*C24</f>
        <v>796875</v>
      </c>
      <c r="D5" s="96"/>
    </row>
    <row r="6" spans="1:4" x14ac:dyDescent="0.3">
      <c r="A6" s="96"/>
      <c r="B6" s="96"/>
      <c r="C6" s="96"/>
      <c r="D6" s="96"/>
    </row>
    <row r="7" spans="1:4" x14ac:dyDescent="0.3">
      <c r="A7" s="96"/>
      <c r="B7" s="96" t="s">
        <v>256</v>
      </c>
      <c r="C7" s="96">
        <v>0</v>
      </c>
      <c r="D7" s="96"/>
    </row>
    <row r="8" spans="1:4" x14ac:dyDescent="0.3">
      <c r="A8" s="96"/>
      <c r="B8" s="96"/>
      <c r="C8" s="96"/>
      <c r="D8" s="96"/>
    </row>
    <row r="9" spans="1:4" x14ac:dyDescent="0.3">
      <c r="A9" s="96"/>
      <c r="B9" s="96" t="s">
        <v>257</v>
      </c>
      <c r="C9" s="96">
        <f>(3000000*0.05*7/12)</f>
        <v>87500</v>
      </c>
      <c r="D9" s="96"/>
    </row>
    <row r="10" spans="1:4" x14ac:dyDescent="0.3">
      <c r="A10" s="96"/>
      <c r="B10" s="96"/>
      <c r="C10" s="96"/>
      <c r="D10" s="96"/>
    </row>
    <row r="11" spans="1:4" x14ac:dyDescent="0.3">
      <c r="A11" s="96"/>
      <c r="B11" s="96" t="s">
        <v>258</v>
      </c>
      <c r="C11" s="96">
        <v>0</v>
      </c>
      <c r="D11" s="96"/>
    </row>
    <row r="12" spans="1:4" x14ac:dyDescent="0.3">
      <c r="A12" s="96"/>
      <c r="B12" s="96"/>
      <c r="C12" s="96"/>
      <c r="D12" s="96"/>
    </row>
    <row r="13" spans="1:4" x14ac:dyDescent="0.3">
      <c r="A13" s="96"/>
      <c r="B13" s="96" t="s">
        <v>259</v>
      </c>
      <c r="C13" s="96">
        <v>0</v>
      </c>
      <c r="D13" s="96"/>
    </row>
    <row r="14" spans="1:4" x14ac:dyDescent="0.3">
      <c r="A14" s="96"/>
      <c r="B14" s="96"/>
      <c r="C14" s="96"/>
      <c r="D14" s="96"/>
    </row>
    <row r="15" spans="1:4" x14ac:dyDescent="0.3">
      <c r="A15" s="96"/>
      <c r="B15" s="96" t="s">
        <v>260</v>
      </c>
      <c r="C15" s="96">
        <v>0</v>
      </c>
      <c r="D15" s="96"/>
    </row>
    <row r="16" spans="1:4" x14ac:dyDescent="0.3">
      <c r="A16" s="96"/>
      <c r="B16" s="96"/>
      <c r="C16" s="96"/>
      <c r="D16" s="96"/>
    </row>
    <row r="17" spans="1:4" x14ac:dyDescent="0.3">
      <c r="A17" s="96"/>
      <c r="B17" s="96" t="s">
        <v>261</v>
      </c>
      <c r="C17" s="96">
        <v>0</v>
      </c>
      <c r="D17" s="96"/>
    </row>
    <row r="18" spans="1:4" x14ac:dyDescent="0.3">
      <c r="A18" s="96"/>
      <c r="B18" s="96"/>
      <c r="C18" s="96"/>
      <c r="D18" s="96"/>
    </row>
    <row r="19" spans="1:4" x14ac:dyDescent="0.3">
      <c r="A19" s="96"/>
      <c r="B19" s="96" t="s">
        <v>262</v>
      </c>
      <c r="C19" s="96">
        <f>'CE Budget 2022'!C47*0.3</f>
        <v>602751.56859381567</v>
      </c>
      <c r="D19" s="96" t="s">
        <v>263</v>
      </c>
    </row>
    <row r="23" spans="1:4" x14ac:dyDescent="0.3">
      <c r="B23" t="s">
        <v>277</v>
      </c>
      <c r="C23">
        <v>750000</v>
      </c>
    </row>
    <row r="24" spans="1:4" x14ac:dyDescent="0.3">
      <c r="B24" t="s">
        <v>278</v>
      </c>
      <c r="C24">
        <v>6.25E-2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70B5-F172-4D91-815C-9EECD134C376}">
  <dimension ref="B1:P54"/>
  <sheetViews>
    <sheetView tabSelected="1" topLeftCell="A35" zoomScale="160" zoomScaleNormal="60" workbookViewId="0">
      <selection activeCell="C48" sqref="C48"/>
    </sheetView>
  </sheetViews>
  <sheetFormatPr defaultRowHeight="14.4" x14ac:dyDescent="0.3"/>
  <cols>
    <col min="2" max="2" width="39.21875" bestFit="1" customWidth="1"/>
    <col min="3" max="3" width="12.77734375" bestFit="1" customWidth="1"/>
    <col min="4" max="4" width="11.109375" bestFit="1" customWidth="1"/>
    <col min="5" max="5" width="49.5546875" bestFit="1" customWidth="1"/>
    <col min="6" max="6" width="12.77734375" bestFit="1" customWidth="1"/>
    <col min="7" max="7" width="59.77734375" bestFit="1" customWidth="1"/>
    <col min="8" max="8" width="12.77734375" bestFit="1" customWidth="1"/>
  </cols>
  <sheetData>
    <row r="1" spans="2:16" ht="15" thickBot="1" x14ac:dyDescent="0.35"/>
    <row r="2" spans="2:16" ht="18" x14ac:dyDescent="0.3">
      <c r="B2" s="140" t="s">
        <v>139</v>
      </c>
      <c r="C2" s="141"/>
      <c r="D2" t="s">
        <v>303</v>
      </c>
      <c r="E2" s="140" t="s">
        <v>139</v>
      </c>
      <c r="F2" s="141"/>
    </row>
    <row r="3" spans="2:16" ht="14.55" customHeight="1" x14ac:dyDescent="0.3">
      <c r="B3" s="138" t="s">
        <v>290</v>
      </c>
      <c r="C3" s="42" t="s">
        <v>65</v>
      </c>
      <c r="E3" s="138" t="s">
        <v>169</v>
      </c>
      <c r="F3" s="42" t="s">
        <v>65</v>
      </c>
      <c r="P3" t="s">
        <v>292</v>
      </c>
    </row>
    <row r="4" spans="2:16" ht="14.55" customHeight="1" x14ac:dyDescent="0.3">
      <c r="B4" s="139"/>
      <c r="C4" s="43" t="s">
        <v>66</v>
      </c>
      <c r="E4" s="139"/>
      <c r="F4" s="43" t="s">
        <v>66</v>
      </c>
    </row>
    <row r="5" spans="2:16" ht="14.55" customHeight="1" x14ac:dyDescent="0.3">
      <c r="B5" s="44" t="s">
        <v>67</v>
      </c>
      <c r="C5" s="101">
        <f>(SUMIF(RicaviBudget!$H:$H,"P",RicaviBudget!$G:$G)+SUMIF(RicaviBudget!$H:$H,"V",RicaviBudget!$G:$G)+SUMIF(RicaviBudget!$H:$H,"A",RicaviBudget!$G:$G))</f>
        <v>68358549.01852648</v>
      </c>
      <c r="D5" s="108">
        <f>C5-F5</f>
        <v>7063889.9957264811</v>
      </c>
      <c r="E5" s="44" t="s">
        <v>67</v>
      </c>
      <c r="F5" s="101">
        <v>61294659.022799999</v>
      </c>
    </row>
    <row r="6" spans="2:16" x14ac:dyDescent="0.3">
      <c r="B6" s="46" t="s">
        <v>288</v>
      </c>
      <c r="C6" s="45">
        <f>SUMIF(RicaviBudget!$H:$H,"MP",RicaviBudget!$G:$G)</f>
        <v>196584.24189999999</v>
      </c>
      <c r="D6" s="108">
        <f t="shared" ref="D6:D49" si="0">C6-F6</f>
        <v>-331642.38355000003</v>
      </c>
      <c r="E6" s="46" t="s">
        <v>288</v>
      </c>
      <c r="F6" s="45">
        <v>528226.62545000005</v>
      </c>
    </row>
    <row r="7" spans="2:16" x14ac:dyDescent="0.3">
      <c r="B7" s="44" t="s">
        <v>289</v>
      </c>
      <c r="C7" s="45">
        <f>SUMIF(RicaviBudget!$H:$H,"PCL",RicaviBudget!$G:$G)</f>
        <v>2489618.9618799998</v>
      </c>
      <c r="D7" s="108">
        <f t="shared" si="0"/>
        <v>612028.60988000012</v>
      </c>
      <c r="E7" s="44" t="s">
        <v>289</v>
      </c>
      <c r="F7" s="45">
        <v>1877590.3519999997</v>
      </c>
    </row>
    <row r="8" spans="2:16" x14ac:dyDescent="0.3">
      <c r="B8" s="44" t="s">
        <v>68</v>
      </c>
      <c r="C8" s="109">
        <f>RicaviBudget!G64+RicaviBudget!G65</f>
        <v>-202771.84999999998</v>
      </c>
      <c r="D8" s="108">
        <f t="shared" si="0"/>
        <v>-322771.84999999998</v>
      </c>
      <c r="E8" s="44" t="s">
        <v>68</v>
      </c>
      <c r="F8" s="89">
        <v>120000</v>
      </c>
    </row>
    <row r="9" spans="2:16" x14ac:dyDescent="0.3">
      <c r="B9" s="44" t="s">
        <v>69</v>
      </c>
      <c r="C9" s="89">
        <v>0</v>
      </c>
      <c r="D9" s="108">
        <f t="shared" si="0"/>
        <v>-500000</v>
      </c>
      <c r="E9" s="44" t="s">
        <v>69</v>
      </c>
      <c r="F9" s="89">
        <v>500000</v>
      </c>
    </row>
    <row r="10" spans="2:16" x14ac:dyDescent="0.3">
      <c r="B10" s="47" t="s">
        <v>70</v>
      </c>
      <c r="C10" s="48">
        <f>+SUM(C5:C9)</f>
        <v>70841980.372306481</v>
      </c>
      <c r="D10" s="108">
        <f t="shared" si="0"/>
        <v>6521504.3720564842</v>
      </c>
      <c r="E10" s="47" t="s">
        <v>70</v>
      </c>
      <c r="F10" s="48">
        <v>64320476.000249997</v>
      </c>
      <c r="P10" s="102" t="s">
        <v>291</v>
      </c>
    </row>
    <row r="11" spans="2:16" x14ac:dyDescent="0.3">
      <c r="B11" s="44" t="s">
        <v>71</v>
      </c>
      <c r="C11" s="45" cm="1">
        <f t="array" ref="C11">-SUM(RicaviBudget!D3:D63 * RicaviBudget!F3:F63)</f>
        <v>-52760560.896493942</v>
      </c>
      <c r="D11" s="108">
        <f t="shared" si="0"/>
        <v>-3389755.3792289346</v>
      </c>
      <c r="E11" s="44" t="s">
        <v>71</v>
      </c>
      <c r="F11" s="45">
        <v>-49370805.517265007</v>
      </c>
    </row>
    <row r="12" spans="2:16" x14ac:dyDescent="0.3">
      <c r="B12" s="44" t="s">
        <v>72</v>
      </c>
      <c r="C12" s="90">
        <v>0</v>
      </c>
      <c r="D12" s="108">
        <f t="shared" si="0"/>
        <v>-2500000</v>
      </c>
      <c r="E12" s="44" t="s">
        <v>72</v>
      </c>
      <c r="F12" s="90">
        <v>2500000</v>
      </c>
    </row>
    <row r="13" spans="2:16" x14ac:dyDescent="0.3">
      <c r="B13" s="47" t="s">
        <v>73</v>
      </c>
      <c r="C13" s="48">
        <f>+C11+C12</f>
        <v>-52760560.896493942</v>
      </c>
      <c r="D13" s="108">
        <f t="shared" si="0"/>
        <v>-5889755.3792289346</v>
      </c>
      <c r="E13" s="47" t="s">
        <v>73</v>
      </c>
      <c r="F13" s="48">
        <v>-46870805.517265007</v>
      </c>
    </row>
    <row r="14" spans="2:16" x14ac:dyDescent="0.3">
      <c r="B14" s="44" t="s">
        <v>74</v>
      </c>
      <c r="C14" s="45">
        <f>-VariableCostsBudget!G9-VariableCostsBudget!G10-VariableCostsBudget!G15</f>
        <v>-3445836.3538936325</v>
      </c>
      <c r="D14" s="108">
        <f t="shared" si="0"/>
        <v>706871.14175914275</v>
      </c>
      <c r="E14" s="44" t="s">
        <v>74</v>
      </c>
      <c r="F14" s="45">
        <v>-4152707.4956527753</v>
      </c>
    </row>
    <row r="15" spans="2:16" x14ac:dyDescent="0.3">
      <c r="B15" s="44" t="s">
        <v>75</v>
      </c>
      <c r="C15" s="111">
        <f>-VariableCostsBudget!G11</f>
        <v>-153750</v>
      </c>
      <c r="D15" s="108">
        <f t="shared" si="0"/>
        <v>21250</v>
      </c>
      <c r="E15" s="44" t="s">
        <v>75</v>
      </c>
      <c r="F15" s="45">
        <v>-175000</v>
      </c>
    </row>
    <row r="16" spans="2:16" x14ac:dyDescent="0.3">
      <c r="B16" s="44" t="s">
        <v>76</v>
      </c>
      <c r="C16" s="45">
        <f>-VariableCostsBudget!G12</f>
        <v>-449211.74630400003</v>
      </c>
      <c r="D16" s="108">
        <f t="shared" si="0"/>
        <v>70748.20321279997</v>
      </c>
      <c r="E16" s="44" t="s">
        <v>76</v>
      </c>
      <c r="F16" s="45">
        <v>-519959.9495168</v>
      </c>
    </row>
    <row r="17" spans="2:7" x14ac:dyDescent="0.3">
      <c r="B17" s="47" t="s">
        <v>77</v>
      </c>
      <c r="C17" s="48">
        <f>SUM(C14:C16)</f>
        <v>-4048798.1001976328</v>
      </c>
      <c r="D17" s="108">
        <f t="shared" si="0"/>
        <v>798869.34497194272</v>
      </c>
      <c r="E17" s="47" t="s">
        <v>77</v>
      </c>
      <c r="F17" s="48">
        <v>-4847667.4451695755</v>
      </c>
    </row>
    <row r="18" spans="2:7" x14ac:dyDescent="0.3">
      <c r="B18" s="44" t="s">
        <v>78</v>
      </c>
      <c r="C18" s="45">
        <f>-VariableCostsBudget!G13</f>
        <v>-1471815.2299680002</v>
      </c>
      <c r="D18" s="108">
        <f t="shared" si="0"/>
        <v>-471815.2299680002</v>
      </c>
      <c r="E18" s="44" t="s">
        <v>78</v>
      </c>
      <c r="F18" s="45">
        <v>-1000000</v>
      </c>
    </row>
    <row r="19" spans="2:7" x14ac:dyDescent="0.3">
      <c r="B19" s="44" t="s">
        <v>79</v>
      </c>
      <c r="C19" s="45">
        <f>-VariableCostsBudget!G14</f>
        <v>-867798.34033418808</v>
      </c>
      <c r="D19" s="108">
        <f t="shared" si="0"/>
        <v>-317798.34033418808</v>
      </c>
      <c r="E19" s="44" t="s">
        <v>79</v>
      </c>
      <c r="F19" s="45">
        <v>-550000</v>
      </c>
    </row>
    <row r="20" spans="2:7" ht="15" thickBot="1" x14ac:dyDescent="0.35">
      <c r="B20" s="47" t="s">
        <v>80</v>
      </c>
      <c r="C20" s="48">
        <f>SUM(C18:C19)</f>
        <v>-2339613.5703021884</v>
      </c>
      <c r="D20" s="108">
        <f t="shared" si="0"/>
        <v>-789613.5703021884</v>
      </c>
      <c r="E20" s="47" t="s">
        <v>80</v>
      </c>
      <c r="F20" s="48">
        <v>-1550000</v>
      </c>
    </row>
    <row r="21" spans="2:7" ht="15" thickBot="1" x14ac:dyDescent="0.35">
      <c r="B21" s="49" t="s">
        <v>81</v>
      </c>
      <c r="C21" s="50">
        <f>+C10+C13+C17+C20</f>
        <v>11693007.805312719</v>
      </c>
      <c r="D21" s="108">
        <f t="shared" si="0"/>
        <v>641004.76749730483</v>
      </c>
      <c r="E21" s="49" t="s">
        <v>81</v>
      </c>
      <c r="F21" s="50">
        <v>11052003.037815414</v>
      </c>
    </row>
    <row r="22" spans="2:7" x14ac:dyDescent="0.3">
      <c r="B22" s="44" t="s">
        <v>82</v>
      </c>
      <c r="C22" s="45">
        <f>-FixedCostsBudget!C3</f>
        <v>-5594785.9100000001</v>
      </c>
      <c r="D22" s="108">
        <f t="shared" si="0"/>
        <v>55214.089999999851</v>
      </c>
      <c r="E22" s="44" t="s">
        <v>82</v>
      </c>
      <c r="F22" s="45">
        <v>-5650000</v>
      </c>
    </row>
    <row r="23" spans="2:7" x14ac:dyDescent="0.3">
      <c r="B23" s="44" t="s">
        <v>83</v>
      </c>
      <c r="C23" s="45">
        <f>-FixedCostsBudget!C5</f>
        <v>-1050000</v>
      </c>
      <c r="D23" s="108">
        <f t="shared" si="0"/>
        <v>50000</v>
      </c>
      <c r="E23" s="44" t="s">
        <v>83</v>
      </c>
      <c r="F23" s="45">
        <v>-1100000</v>
      </c>
    </row>
    <row r="24" spans="2:7" x14ac:dyDescent="0.3">
      <c r="B24" s="44" t="s">
        <v>84</v>
      </c>
      <c r="C24" s="45">
        <f>-FixedCostsBudget!C7</f>
        <v>-307500</v>
      </c>
      <c r="D24" s="108">
        <f t="shared" si="0"/>
        <v>-2500</v>
      </c>
      <c r="E24" s="44" t="s">
        <v>84</v>
      </c>
      <c r="F24" s="45">
        <v>-305000</v>
      </c>
    </row>
    <row r="25" spans="2:7" x14ac:dyDescent="0.3">
      <c r="B25" s="44" t="s">
        <v>85</v>
      </c>
      <c r="C25" s="45">
        <f>-FixedCostsBudget!C9</f>
        <v>-151700</v>
      </c>
      <c r="D25" s="108">
        <f t="shared" si="0"/>
        <v>-6700</v>
      </c>
      <c r="E25" s="44" t="s">
        <v>85</v>
      </c>
      <c r="F25" s="45">
        <v>-145000</v>
      </c>
    </row>
    <row r="26" spans="2:7" x14ac:dyDescent="0.3">
      <c r="B26" s="44" t="s">
        <v>86</v>
      </c>
      <c r="C26" s="45">
        <f>-FixedCostsBudget!C11</f>
        <v>-309550</v>
      </c>
      <c r="D26" s="108">
        <f t="shared" si="0"/>
        <v>-2550</v>
      </c>
      <c r="E26" s="44" t="s">
        <v>86</v>
      </c>
      <c r="F26" s="45">
        <v>-307000</v>
      </c>
    </row>
    <row r="27" spans="2:7" x14ac:dyDescent="0.3">
      <c r="B27" s="44" t="s">
        <v>87</v>
      </c>
      <c r="C27" s="45">
        <f>-FixedCostsBudget!C13</f>
        <v>-212174.99999999997</v>
      </c>
      <c r="D27" s="108">
        <f t="shared" si="0"/>
        <v>-2674.9999999999709</v>
      </c>
      <c r="E27" s="44" t="s">
        <v>87</v>
      </c>
      <c r="F27" s="45">
        <v>-209500</v>
      </c>
    </row>
    <row r="28" spans="2:7" x14ac:dyDescent="0.3">
      <c r="B28" s="47" t="s">
        <v>88</v>
      </c>
      <c r="C28" s="48">
        <f>SUM(C22:C27)</f>
        <v>-7625710.9100000001</v>
      </c>
      <c r="D28" s="108">
        <f t="shared" si="0"/>
        <v>90789.089999999851</v>
      </c>
      <c r="E28" s="47" t="s">
        <v>88</v>
      </c>
      <c r="F28" s="103">
        <v>-7716500</v>
      </c>
    </row>
    <row r="29" spans="2:7" x14ac:dyDescent="0.3">
      <c r="B29" s="44" t="s">
        <v>89</v>
      </c>
      <c r="C29" s="45">
        <f>-FixedCostsBudget!C18</f>
        <v>-563750</v>
      </c>
      <c r="D29" s="108">
        <f t="shared" si="0"/>
        <v>-7750</v>
      </c>
      <c r="E29" s="44" t="s">
        <v>89</v>
      </c>
      <c r="F29" s="45">
        <v>-556000</v>
      </c>
      <c r="G29" s="102"/>
    </row>
    <row r="30" spans="2:7" x14ac:dyDescent="0.3">
      <c r="B30" s="44" t="s">
        <v>90</v>
      </c>
      <c r="C30" s="45">
        <f>-FixedCostsBudget!C20</f>
        <v>-307500</v>
      </c>
      <c r="D30" s="108">
        <f t="shared" si="0"/>
        <v>-10500</v>
      </c>
      <c r="E30" s="44" t="s">
        <v>90</v>
      </c>
      <c r="F30" s="45">
        <v>-297000</v>
      </c>
    </row>
    <row r="31" spans="2:7" x14ac:dyDescent="0.3">
      <c r="B31" s="44" t="s">
        <v>91</v>
      </c>
      <c r="C31" s="45">
        <f>-FixedCostsBudget!C22</f>
        <v>-102499.99999999999</v>
      </c>
      <c r="D31" s="108">
        <f t="shared" si="0"/>
        <v>-4499.9999999999854</v>
      </c>
      <c r="E31" s="44" t="s">
        <v>91</v>
      </c>
      <c r="F31" s="45">
        <v>-98000</v>
      </c>
    </row>
    <row r="32" spans="2:7" ht="15" thickBot="1" x14ac:dyDescent="0.35">
      <c r="B32" s="47" t="s">
        <v>92</v>
      </c>
      <c r="C32" s="48">
        <f>SUM(C29:C31)</f>
        <v>-973750</v>
      </c>
      <c r="D32" s="108">
        <f t="shared" si="0"/>
        <v>-22750</v>
      </c>
      <c r="E32" s="47" t="s">
        <v>92</v>
      </c>
      <c r="F32" s="48">
        <v>-951000</v>
      </c>
    </row>
    <row r="33" spans="2:6" ht="15" thickBot="1" x14ac:dyDescent="0.35">
      <c r="B33" s="51" t="s">
        <v>93</v>
      </c>
      <c r="C33" s="52">
        <f>+C21+C28+C32</f>
        <v>3093546.895312719</v>
      </c>
      <c r="D33" s="108">
        <f t="shared" si="0"/>
        <v>709043.85749730468</v>
      </c>
      <c r="E33" s="51" t="s">
        <v>93</v>
      </c>
      <c r="F33" s="52">
        <v>2384503.0378154144</v>
      </c>
    </row>
    <row r="34" spans="2:6" x14ac:dyDescent="0.3">
      <c r="B34" s="46" t="s">
        <v>94</v>
      </c>
      <c r="C34" s="45">
        <f>-OthersBudget!C3</f>
        <v>-200000</v>
      </c>
      <c r="D34" s="108">
        <f t="shared" si="0"/>
        <v>-10000</v>
      </c>
      <c r="E34" s="46" t="s">
        <v>94</v>
      </c>
      <c r="F34" s="45">
        <v>-190000</v>
      </c>
    </row>
    <row r="35" spans="2:6" x14ac:dyDescent="0.3">
      <c r="B35" s="44" t="s">
        <v>95</v>
      </c>
      <c r="C35" s="45">
        <f>-OthersBudget!C5</f>
        <v>-796875</v>
      </c>
      <c r="D35" s="108">
        <f t="shared" si="0"/>
        <v>13125</v>
      </c>
      <c r="E35" s="44" t="s">
        <v>95</v>
      </c>
      <c r="F35" s="45">
        <v>-810000</v>
      </c>
    </row>
    <row r="36" spans="2:6" x14ac:dyDescent="0.3">
      <c r="B36" s="44" t="s">
        <v>96</v>
      </c>
      <c r="C36" s="45">
        <f>-OthersBudget!C7</f>
        <v>0</v>
      </c>
      <c r="D36" s="108">
        <f t="shared" si="0"/>
        <v>25000</v>
      </c>
      <c r="E36" s="44" t="s">
        <v>96</v>
      </c>
      <c r="F36" s="45">
        <v>-25000</v>
      </c>
    </row>
    <row r="37" spans="2:6" ht="15" thickBot="1" x14ac:dyDescent="0.35">
      <c r="B37" s="47" t="s">
        <v>97</v>
      </c>
      <c r="C37" s="48">
        <f>SUM(C34:C36)</f>
        <v>-996875</v>
      </c>
      <c r="D37" s="108">
        <f t="shared" si="0"/>
        <v>28125</v>
      </c>
      <c r="E37" s="47" t="s">
        <v>97</v>
      </c>
      <c r="F37" s="48">
        <v>-1025000</v>
      </c>
    </row>
    <row r="38" spans="2:6" ht="15" thickBot="1" x14ac:dyDescent="0.35">
      <c r="B38" s="49" t="s">
        <v>98</v>
      </c>
      <c r="C38" s="50">
        <f>+C33+C37</f>
        <v>2096671.895312719</v>
      </c>
      <c r="D38" s="108">
        <f t="shared" si="0"/>
        <v>737168.85749730468</v>
      </c>
      <c r="E38" s="49" t="s">
        <v>98</v>
      </c>
      <c r="F38" s="50">
        <v>1359503.0378154144</v>
      </c>
    </row>
    <row r="39" spans="2:6" x14ac:dyDescent="0.3">
      <c r="B39" s="44" t="s">
        <v>99</v>
      </c>
      <c r="C39" s="45">
        <f>-OthersBudget!C9</f>
        <v>-87500</v>
      </c>
      <c r="D39" s="108">
        <f t="shared" si="0"/>
        <v>52633.039999999979</v>
      </c>
      <c r="E39" s="44" t="s">
        <v>99</v>
      </c>
      <c r="F39" s="45">
        <v>-140133.03999999998</v>
      </c>
    </row>
    <row r="40" spans="2:6" x14ac:dyDescent="0.3">
      <c r="B40" s="44" t="s">
        <v>100</v>
      </c>
      <c r="C40" s="45">
        <f>OthersBudget!C11</f>
        <v>0</v>
      </c>
      <c r="D40" s="108">
        <f t="shared" si="0"/>
        <v>-3543.6200000000003</v>
      </c>
      <c r="E40" s="44" t="s">
        <v>100</v>
      </c>
      <c r="F40" s="45">
        <v>3543.6200000000003</v>
      </c>
    </row>
    <row r="41" spans="2:6" ht="15" thickBot="1" x14ac:dyDescent="0.35">
      <c r="B41" s="47" t="s">
        <v>101</v>
      </c>
      <c r="C41" s="48">
        <f>SUM(C39:C40)</f>
        <v>-87500</v>
      </c>
      <c r="D41" s="108">
        <f t="shared" si="0"/>
        <v>49089.419999999984</v>
      </c>
      <c r="E41" s="47" t="s">
        <v>101</v>
      </c>
      <c r="F41" s="48">
        <v>-136589.41999999998</v>
      </c>
    </row>
    <row r="42" spans="2:6" ht="15" thickBot="1" x14ac:dyDescent="0.35">
      <c r="B42" s="49" t="s">
        <v>102</v>
      </c>
      <c r="C42" s="50">
        <f>+C38+C41</f>
        <v>2009171.895312719</v>
      </c>
      <c r="D42" s="108">
        <f t="shared" si="0"/>
        <v>786258.2774973046</v>
      </c>
      <c r="E42" s="49" t="s">
        <v>102</v>
      </c>
      <c r="F42" s="50">
        <v>1222913.6178154144</v>
      </c>
    </row>
    <row r="43" spans="2:6" x14ac:dyDescent="0.3">
      <c r="B43" s="44" t="s">
        <v>103</v>
      </c>
      <c r="C43" s="45">
        <f>-OthersBudget!C13</f>
        <v>0</v>
      </c>
      <c r="D43" s="108">
        <f t="shared" si="0"/>
        <v>130503.97</v>
      </c>
      <c r="E43" s="44" t="s">
        <v>103</v>
      </c>
      <c r="F43" s="45">
        <v>-130503.97</v>
      </c>
    </row>
    <row r="44" spans="2:6" x14ac:dyDescent="0.3">
      <c r="B44" s="44" t="s">
        <v>104</v>
      </c>
      <c r="C44" s="45">
        <f>OthersBudget!C15</f>
        <v>0</v>
      </c>
      <c r="D44" s="108">
        <f t="shared" si="0"/>
        <v>0</v>
      </c>
      <c r="E44" s="44" t="s">
        <v>104</v>
      </c>
      <c r="F44" s="45">
        <v>0</v>
      </c>
    </row>
    <row r="45" spans="2:6" x14ac:dyDescent="0.3">
      <c r="B45" s="44" t="s">
        <v>105</v>
      </c>
      <c r="C45" s="45">
        <f>OthersBudget!C17</f>
        <v>0</v>
      </c>
      <c r="D45" s="108">
        <f t="shared" si="0"/>
        <v>0</v>
      </c>
      <c r="E45" s="44" t="s">
        <v>105</v>
      </c>
      <c r="F45" s="45">
        <v>0</v>
      </c>
    </row>
    <row r="46" spans="2:6" ht="15" thickBot="1" x14ac:dyDescent="0.35">
      <c r="B46" s="47" t="s">
        <v>106</v>
      </c>
      <c r="C46" s="48">
        <f>SUM(C43:C45)</f>
        <v>0</v>
      </c>
      <c r="D46" s="108">
        <f t="shared" si="0"/>
        <v>130503.97</v>
      </c>
      <c r="E46" s="47" t="s">
        <v>106</v>
      </c>
      <c r="F46" s="48">
        <v>-130503.97</v>
      </c>
    </row>
    <row r="47" spans="2:6" ht="15" thickBot="1" x14ac:dyDescent="0.35">
      <c r="B47" s="49" t="s">
        <v>107</v>
      </c>
      <c r="C47" s="50">
        <f>+C46+C42</f>
        <v>2009171.895312719</v>
      </c>
      <c r="D47" s="108">
        <f t="shared" si="0"/>
        <v>916762.24749730458</v>
      </c>
      <c r="E47" s="49" t="s">
        <v>107</v>
      </c>
      <c r="F47" s="50">
        <v>1092409.6478154145</v>
      </c>
    </row>
    <row r="48" spans="2:6" ht="15" thickBot="1" x14ac:dyDescent="0.35">
      <c r="B48" s="44" t="s">
        <v>108</v>
      </c>
      <c r="C48" s="45">
        <f>-OthersBudget!C19</f>
        <v>-602751.56859381567</v>
      </c>
      <c r="D48" s="108">
        <f t="shared" si="0"/>
        <v>-275028.67424920027</v>
      </c>
      <c r="E48" s="44" t="s">
        <v>108</v>
      </c>
      <c r="F48" s="45">
        <v>-327722.8943446154</v>
      </c>
    </row>
    <row r="49" spans="2:6" ht="15" thickBot="1" x14ac:dyDescent="0.35">
      <c r="B49" s="49" t="s">
        <v>109</v>
      </c>
      <c r="C49" s="50">
        <f>C47+C48</f>
        <v>1406420.3267189034</v>
      </c>
      <c r="D49" s="108">
        <f t="shared" si="0"/>
        <v>641733.57324810431</v>
      </c>
      <c r="E49" s="49" t="s">
        <v>109</v>
      </c>
      <c r="F49" s="50">
        <v>764686.75347079907</v>
      </c>
    </row>
    <row r="50" spans="2:6" x14ac:dyDescent="0.3">
      <c r="C50" s="102"/>
    </row>
    <row r="53" spans="2:6" x14ac:dyDescent="0.3">
      <c r="E53" s="102"/>
    </row>
    <row r="54" spans="2:6" x14ac:dyDescent="0.3">
      <c r="D54" s="102"/>
    </row>
  </sheetData>
  <mergeCells count="4">
    <mergeCell ref="B2:C2"/>
    <mergeCell ref="B3:B4"/>
    <mergeCell ref="E2:F2"/>
    <mergeCell ref="E3:E4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357A-B255-476A-B362-53609C625BCC}">
  <dimension ref="A2:I135"/>
  <sheetViews>
    <sheetView topLeftCell="A16" zoomScale="60" zoomScaleNormal="60" workbookViewId="0">
      <selection activeCell="C63" sqref="C63"/>
    </sheetView>
  </sheetViews>
  <sheetFormatPr defaultRowHeight="14.4" x14ac:dyDescent="0.3"/>
  <cols>
    <col min="2" max="2" width="34" customWidth="1"/>
    <col min="3" max="4" width="20.21875" customWidth="1"/>
    <col min="5" max="5" width="22" customWidth="1"/>
    <col min="6" max="6" width="21.88671875" customWidth="1"/>
    <col min="7" max="7" width="21.33203125" customWidth="1"/>
    <col min="8" max="8" width="22.77734375" customWidth="1"/>
    <col min="9" max="9" width="27.21875" customWidth="1"/>
  </cols>
  <sheetData>
    <row r="2" spans="1:9" x14ac:dyDescent="0.3">
      <c r="B2" s="150" t="s">
        <v>304</v>
      </c>
      <c r="C2" s="150"/>
      <c r="D2" s="150"/>
      <c r="E2" s="131"/>
      <c r="F2" s="115" t="s">
        <v>124</v>
      </c>
      <c r="G2" s="115" t="s">
        <v>354</v>
      </c>
      <c r="H2" s="135" t="s">
        <v>311</v>
      </c>
      <c r="I2" t="s">
        <v>357</v>
      </c>
    </row>
    <row r="3" spans="1:9" x14ac:dyDescent="0.3">
      <c r="B3" s="112" t="s">
        <v>124</v>
      </c>
      <c r="C3" s="112" t="s">
        <v>305</v>
      </c>
      <c r="D3" s="112" t="s">
        <v>306</v>
      </c>
      <c r="E3" s="115"/>
      <c r="F3" s="115" t="s">
        <v>115</v>
      </c>
      <c r="G3" s="137">
        <f>C4/$C$9</f>
        <v>3.3043719893555163E-3</v>
      </c>
      <c r="H3" s="136">
        <f>G3*$C$11</f>
        <v>127308.44354485766</v>
      </c>
      <c r="I3" s="134">
        <f>C4/H3</f>
        <v>0.88723510283275675</v>
      </c>
    </row>
    <row r="4" spans="1:9" x14ac:dyDescent="0.3">
      <c r="B4" s="113" t="s">
        <v>115</v>
      </c>
      <c r="C4" s="114">
        <f>SUMIF(Ricavi!J:J, "MP*",Ricavi!L:L)</f>
        <v>112952.51999999999</v>
      </c>
      <c r="D4" s="114" cm="1">
        <f t="array" ref="D4">SUMPRODUCT(--ISNUMBER((SEARCH("MP", Ricavi!$J$4:$J$64))), Ricavi!$L$4:$L$64, Ricavi!$M$4:$M$64)</f>
        <v>196584.24189999999</v>
      </c>
      <c r="E4" s="132"/>
      <c r="F4" s="135" t="s">
        <v>116</v>
      </c>
      <c r="G4" s="137">
        <f t="shared" ref="G4:G7" si="0">C5/$C$9</f>
        <v>9.7122175588267953E-2</v>
      </c>
      <c r="H4" s="136">
        <f t="shared" ref="H4:H7" si="1">G4*$C$11</f>
        <v>3741852.6266603312</v>
      </c>
      <c r="I4" s="134">
        <f t="shared" ref="I4:I7" si="2">C5/H4</f>
        <v>0.88723510283275675</v>
      </c>
    </row>
    <row r="5" spans="1:9" x14ac:dyDescent="0.3">
      <c r="B5" s="113" t="s">
        <v>116</v>
      </c>
      <c r="C5" s="114">
        <f>SUMIF(Ricavi!J:J, "PCL*",Ricavi!L:L)</f>
        <v>3319903</v>
      </c>
      <c r="D5" s="114" cm="1">
        <f t="array" ref="D5">SUMPRODUCT(--ISNUMBER((SEARCH("PCL", Ricavi!$J$4:$J$64))), Ricavi!$L$4:$L$64, Ricavi!$M$4:$M$64)</f>
        <v>2489618.9618799998</v>
      </c>
      <c r="E5" s="132"/>
      <c r="F5" s="135" t="s">
        <v>113</v>
      </c>
      <c r="G5" s="137">
        <f t="shared" si="0"/>
        <v>0.42783811161011548</v>
      </c>
      <c r="H5" s="136">
        <f t="shared" si="1"/>
        <v>16483435.961118348</v>
      </c>
      <c r="I5" s="134">
        <f t="shared" si="2"/>
        <v>0.88723510283275686</v>
      </c>
    </row>
    <row r="6" spans="1:9" x14ac:dyDescent="0.3">
      <c r="B6" s="113" t="s">
        <v>204</v>
      </c>
      <c r="C6" s="114">
        <f>SUMIF(Ricavi!J:J, "PF P*",Ricavi!L:L)</f>
        <v>14624683</v>
      </c>
      <c r="D6" s="114" cm="1">
        <f t="array" ref="D6">SUMPRODUCT(--ISNUMBER((SEARCH("PF P", Ricavi!$J$4:$J$64))), Ricavi!$L$4:$L$64, Ricavi!$M$4:$M$64)</f>
        <v>43389917.016709402</v>
      </c>
      <c r="E6" s="132"/>
      <c r="F6" s="135" t="s">
        <v>208</v>
      </c>
      <c r="G6" s="137">
        <f t="shared" si="0"/>
        <v>0.18927681631073101</v>
      </c>
      <c r="H6" s="136">
        <f t="shared" si="1"/>
        <v>7292319.678676635</v>
      </c>
      <c r="I6" s="134">
        <f t="shared" si="2"/>
        <v>0.88723510283275675</v>
      </c>
    </row>
    <row r="7" spans="1:9" x14ac:dyDescent="0.3">
      <c r="B7" s="113" t="s">
        <v>205</v>
      </c>
      <c r="C7" s="114">
        <f>SUMIF(Ricavi!J:J, "PF V*",Ricavi!L:L)</f>
        <v>6470002</v>
      </c>
      <c r="D7" s="114" cm="1">
        <f t="array" ref="D7">SUMPRODUCT(--ISNUMBER((SEARCH("PF V", Ricavi!$J$4:$J$64))), Ricavi!$L$4:$L$64, Ricavi!$M$4:$M$64)</f>
        <v>9386776.6740170922</v>
      </c>
      <c r="E7" s="132"/>
      <c r="F7" s="135" t="s">
        <v>209</v>
      </c>
      <c r="G7" s="137">
        <f t="shared" si="0"/>
        <v>0.28245852450153008</v>
      </c>
      <c r="H7" s="136">
        <f t="shared" si="1"/>
        <v>10882356.839999827</v>
      </c>
      <c r="I7" s="134">
        <f t="shared" si="2"/>
        <v>0.88723510283275675</v>
      </c>
    </row>
    <row r="8" spans="1:9" x14ac:dyDescent="0.3">
      <c r="B8" s="113" t="s">
        <v>206</v>
      </c>
      <c r="C8" s="114">
        <f>SUMIF(Ricavi!J:J, "PF A*",Ricavi!L:L)</f>
        <v>9655208.9900000002</v>
      </c>
      <c r="D8" s="114" cm="1">
        <f t="array" ref="D8">SUMPRODUCT(--ISNUMBER((SEARCH("PF A", Ricavi!$J$4:$J$64))), Ricavi!$L$4:$L$64, Ricavi!$M$4:$M$64)</f>
        <v>15581855.327799987</v>
      </c>
      <c r="E8" s="132"/>
    </row>
    <row r="9" spans="1:9" x14ac:dyDescent="0.3">
      <c r="B9" t="s">
        <v>356</v>
      </c>
      <c r="C9" s="133">
        <f>SUM(C4:C8)</f>
        <v>34182749.509999998</v>
      </c>
      <c r="D9" s="133">
        <f>SUM(D4:D8)</f>
        <v>71044752.22230649</v>
      </c>
      <c r="H9" s="136">
        <f>SUM(H3:H7)</f>
        <v>38527273.549999997</v>
      </c>
    </row>
    <row r="10" spans="1:9" x14ac:dyDescent="0.3">
      <c r="E10" s="128"/>
    </row>
    <row r="11" spans="1:9" x14ac:dyDescent="0.3">
      <c r="B11" s="115" t="s">
        <v>355</v>
      </c>
      <c r="C11" s="128">
        <f>SUM(D14:D18)</f>
        <v>38527273.549999997</v>
      </c>
    </row>
    <row r="13" spans="1:9" x14ac:dyDescent="0.3">
      <c r="A13" s="115"/>
      <c r="B13" s="116" t="s">
        <v>307</v>
      </c>
      <c r="C13" s="116" t="s">
        <v>308</v>
      </c>
      <c r="D13" s="116" t="s">
        <v>309</v>
      </c>
      <c r="E13" s="116" t="s">
        <v>310</v>
      </c>
      <c r="F13" s="116" t="s">
        <v>311</v>
      </c>
      <c r="G13" s="116" t="s">
        <v>312</v>
      </c>
      <c r="H13" s="116" t="s">
        <v>313</v>
      </c>
      <c r="I13" s="116" t="s">
        <v>314</v>
      </c>
    </row>
    <row r="14" spans="1:9" x14ac:dyDescent="0.3">
      <c r="A14" s="149" t="s">
        <v>315</v>
      </c>
      <c r="B14" s="117" t="s">
        <v>316</v>
      </c>
      <c r="C14" s="118">
        <f>C4</f>
        <v>112952.51999999999</v>
      </c>
      <c r="D14" s="118">
        <f>SUMIF(Ricavi!B:B, "MP*", Ricavi!D:D)</f>
        <v>240574.55000000005</v>
      </c>
      <c r="E14" s="118">
        <f>D14-C14</f>
        <v>127622.03000000006</v>
      </c>
      <c r="F14" s="118">
        <f>H3</f>
        <v>127308.44354485766</v>
      </c>
      <c r="G14" s="118">
        <f>F14-C14</f>
        <v>14355.923544857666</v>
      </c>
      <c r="H14" s="118"/>
      <c r="I14" s="118"/>
    </row>
    <row r="15" spans="1:9" x14ac:dyDescent="0.3">
      <c r="A15" s="149"/>
      <c r="B15" s="117" t="s">
        <v>317</v>
      </c>
      <c r="C15" s="118">
        <f>C5</f>
        <v>3319903</v>
      </c>
      <c r="D15" s="118">
        <f>SUMIF(Ricavi!B:B, "PCL*", Ricavi!D:D)</f>
        <v>3223711</v>
      </c>
      <c r="E15" s="118">
        <f>D15-C15</f>
        <v>-96192</v>
      </c>
      <c r="F15" s="118">
        <f t="shared" ref="F15:F18" si="3">H4</f>
        <v>3741852.6266603312</v>
      </c>
      <c r="G15" s="118">
        <f t="shared" ref="G15:G18" si="4">F15-C15</f>
        <v>421949.62666033115</v>
      </c>
      <c r="H15" s="118"/>
      <c r="I15" s="118"/>
    </row>
    <row r="16" spans="1:9" x14ac:dyDescent="0.3">
      <c r="A16" s="149"/>
      <c r="B16" s="117" t="s">
        <v>318</v>
      </c>
      <c r="C16" s="118">
        <f>C6</f>
        <v>14624683</v>
      </c>
      <c r="D16" s="118">
        <f>SUMIF(Ricavi!B:B, "PF P*", Ricavi!D:D)</f>
        <v>18642746</v>
      </c>
      <c r="E16" s="118">
        <f>D16-C16</f>
        <v>4018063</v>
      </c>
      <c r="F16" s="118">
        <f t="shared" si="3"/>
        <v>16483435.961118348</v>
      </c>
      <c r="G16" s="118">
        <f t="shared" si="4"/>
        <v>1858752.9611183479</v>
      </c>
      <c r="H16" s="118"/>
      <c r="I16" s="118"/>
    </row>
    <row r="17" spans="1:9" x14ac:dyDescent="0.3">
      <c r="A17" s="149"/>
      <c r="B17" s="117" t="s">
        <v>319</v>
      </c>
      <c r="C17" s="118">
        <f>C7</f>
        <v>6470002</v>
      </c>
      <c r="D17" s="118">
        <f>SUMIF(Ricavi!B:B, "PF V*", Ricavi!D:D)</f>
        <v>6692984</v>
      </c>
      <c r="E17" s="118">
        <f>D17-C17</f>
        <v>222982</v>
      </c>
      <c r="F17" s="118">
        <f t="shared" si="3"/>
        <v>7292319.678676635</v>
      </c>
      <c r="G17" s="118">
        <f t="shared" si="4"/>
        <v>822317.67867663503</v>
      </c>
      <c r="H17" s="118"/>
      <c r="I17" s="118"/>
    </row>
    <row r="18" spans="1:9" x14ac:dyDescent="0.3">
      <c r="A18" s="149"/>
      <c r="B18" s="117" t="s">
        <v>320</v>
      </c>
      <c r="C18" s="118">
        <f>C8</f>
        <v>9655208.9900000002</v>
      </c>
      <c r="D18" s="118">
        <f>SUMIF(Ricavi!B:B, "PF A*", Ricavi!D:D)</f>
        <v>9727258</v>
      </c>
      <c r="E18" s="118">
        <f>D18-C18</f>
        <v>72049.009999999776</v>
      </c>
      <c r="F18" s="118">
        <f t="shared" si="3"/>
        <v>10882356.839999827</v>
      </c>
      <c r="G18" s="118">
        <f t="shared" si="4"/>
        <v>1227147.8499998264</v>
      </c>
      <c r="H18" s="118"/>
      <c r="I18" s="118"/>
    </row>
    <row r="19" spans="1:9" x14ac:dyDescent="0.3">
      <c r="A19" s="115"/>
      <c r="B19" s="119"/>
      <c r="C19" s="120"/>
      <c r="D19" s="120"/>
      <c r="E19" s="120"/>
      <c r="F19" s="120"/>
      <c r="G19" s="120"/>
      <c r="H19" s="120"/>
      <c r="I19" s="120"/>
    </row>
    <row r="20" spans="1:9" x14ac:dyDescent="0.3">
      <c r="A20" s="149" t="s">
        <v>321</v>
      </c>
      <c r="B20" s="117" t="s">
        <v>322</v>
      </c>
      <c r="C20" s="121" t="e">
        <f>#REF!</f>
        <v>#REF!</v>
      </c>
      <c r="D20" s="118">
        <f>SUMIF(Ricavi!B:B, "MP*",Ricavi!E:E)</f>
        <v>81.552496034955993</v>
      </c>
      <c r="E20" s="118" t="e">
        <f>D20-C20</f>
        <v>#REF!</v>
      </c>
      <c r="F20" s="118"/>
      <c r="G20" s="118"/>
      <c r="H20" s="118"/>
      <c r="I20" s="118"/>
    </row>
    <row r="21" spans="1:9" x14ac:dyDescent="0.3">
      <c r="A21" s="149"/>
      <c r="B21" s="117" t="s">
        <v>323</v>
      </c>
      <c r="C21" s="118" t="e">
        <f>#REF!</f>
        <v>#REF!</v>
      </c>
      <c r="D21" s="118" t="e">
        <f>SUMIF([2]Ricavi!B:B, "PCL*",[2]Ricavi!E:E)</f>
        <v>#VALUE!</v>
      </c>
      <c r="E21" s="118" t="e">
        <f>D21-C21</f>
        <v>#VALUE!</v>
      </c>
      <c r="F21" s="118"/>
      <c r="G21" s="118"/>
      <c r="H21" s="118"/>
      <c r="I21" s="118"/>
    </row>
    <row r="22" spans="1:9" x14ac:dyDescent="0.3">
      <c r="A22" s="149"/>
      <c r="B22" s="117" t="s">
        <v>324</v>
      </c>
      <c r="C22" s="118" t="e">
        <f>#REF!</f>
        <v>#REF!</v>
      </c>
      <c r="D22" s="118" t="e">
        <f>SUMIF([2]Ricavi!B:B, "PF P*",[2]Ricavi!E:E)</f>
        <v>#VALUE!</v>
      </c>
      <c r="E22" s="118" t="e">
        <f>D22-C22</f>
        <v>#VALUE!</v>
      </c>
      <c r="F22" s="118"/>
      <c r="G22" s="118"/>
      <c r="H22" s="118"/>
      <c r="I22" s="118"/>
    </row>
    <row r="23" spans="1:9" x14ac:dyDescent="0.3">
      <c r="A23" s="149"/>
      <c r="B23" s="117" t="s">
        <v>325</v>
      </c>
      <c r="C23" s="118" t="e">
        <f>#REF!</f>
        <v>#REF!</v>
      </c>
      <c r="D23" s="118" t="e">
        <f>SUMIF([2]Ricavi!B:B, "PF V*",[2]Ricavi!E:E)</f>
        <v>#VALUE!</v>
      </c>
      <c r="E23" s="118" t="e">
        <f>D23-C23</f>
        <v>#VALUE!</v>
      </c>
      <c r="F23" s="118"/>
      <c r="G23" s="118"/>
      <c r="H23" s="118"/>
      <c r="I23" s="118"/>
    </row>
    <row r="24" spans="1:9" x14ac:dyDescent="0.3">
      <c r="A24" s="149"/>
      <c r="B24" s="117" t="s">
        <v>326</v>
      </c>
      <c r="C24" s="118" t="e">
        <f>#REF!</f>
        <v>#REF!</v>
      </c>
      <c r="D24" s="118" t="e">
        <f>SUMIF([2]Ricavi!B:B, "PF A*",[2]Ricavi!E:E)</f>
        <v>#VALUE!</v>
      </c>
      <c r="E24" s="118" t="e">
        <f>D24-C24</f>
        <v>#VALUE!</v>
      </c>
      <c r="F24" s="118"/>
      <c r="G24" s="118"/>
      <c r="H24" s="118"/>
      <c r="I24" s="118"/>
    </row>
    <row r="25" spans="1:9" x14ac:dyDescent="0.3">
      <c r="A25" s="115"/>
      <c r="B25" s="122"/>
      <c r="C25" s="120"/>
      <c r="D25" s="120"/>
      <c r="E25" s="120"/>
      <c r="F25" s="120"/>
      <c r="G25" s="120"/>
      <c r="H25" s="120"/>
      <c r="I25" s="120"/>
    </row>
    <row r="26" spans="1:9" x14ac:dyDescent="0.3">
      <c r="A26" s="115"/>
      <c r="B26" s="115" t="s">
        <v>327</v>
      </c>
      <c r="C26" s="118">
        <f>D4</f>
        <v>196584.24189999999</v>
      </c>
      <c r="D26" s="118" cm="1">
        <f t="array" ref="D26">SUMPRODUCT(--ISNUMBER((SEARCH("MP", Ricavi!$B$4:$B$76))), Ricavi!$D$4:$D$76, Ricavi!$E$4:$E$76)</f>
        <v>528226.62545000017</v>
      </c>
      <c r="E26" s="118">
        <f>D26-C26</f>
        <v>331642.38355000014</v>
      </c>
      <c r="F26" s="118" cm="1">
        <f t="array" ref="F26">SUMPRODUCT(--ISNUMBER((SEARCH("MP", Ricavi!$B$4:$B$76))), Ricavi!$D$4:$D$76/I3, Ricavi!$M$4:$M$76)</f>
        <v>795930.12512431026</v>
      </c>
      <c r="G26" s="118"/>
      <c r="H26" s="118"/>
      <c r="I26" s="118"/>
    </row>
    <row r="27" spans="1:9" x14ac:dyDescent="0.3">
      <c r="B27" s="117" t="s">
        <v>328</v>
      </c>
      <c r="C27" s="118">
        <f t="shared" ref="C27:C30" si="5">D5</f>
        <v>2489618.9618799998</v>
      </c>
      <c r="D27" s="118" cm="1">
        <f t="array" ref="D27">SUMPRODUCT(--ISNUMBER((SEARCH("PCL", Ricavi!$B$4:$B$76))), Ricavi!$D$4:$D$76, Ricavi!$E$4:$E$76)</f>
        <v>1877590.3519999997</v>
      </c>
      <c r="E27" s="118">
        <f>D27-C27</f>
        <v>-612028.60988000012</v>
      </c>
      <c r="F27" s="118" cm="1">
        <f t="array" ref="F27">SUMPRODUCT(--ISNUMBER((SEARCH("MP", Ricavi!$B$4:$B$76))), Ricavi!$D$4:$D$76/I4, Ricavi!$M$4:$M$76)</f>
        <v>795930.12512431026</v>
      </c>
      <c r="G27" s="123"/>
      <c r="H27" s="123"/>
      <c r="I27" s="123"/>
    </row>
    <row r="28" spans="1:9" x14ac:dyDescent="0.3">
      <c r="B28" s="117" t="s">
        <v>329</v>
      </c>
      <c r="C28" s="118">
        <f t="shared" si="5"/>
        <v>43389917.016709402</v>
      </c>
      <c r="D28" s="118" cm="1">
        <f t="array" ref="D28">SUMPRODUCT(--ISNUMBER((SEARCH("PF P", Ricavi!$B$4:$B$76))), Ricavi!$D$4:$D$76, Ricavi!$E$4:$E$76)</f>
        <v>39445016.509999998</v>
      </c>
      <c r="E28" s="118">
        <f>D28-C28</f>
        <v>-3944900.5067094043</v>
      </c>
      <c r="F28" s="118" cm="1">
        <f t="array" ref="F28">SUMPRODUCT(--ISNUMBER((SEARCH("MP", Ricavi!$B$4:$B$76))), Ricavi!$D$4:$D$76/I5, Ricavi!$M$4:$M$76)</f>
        <v>795930.12512431026</v>
      </c>
      <c r="G28" s="123"/>
      <c r="H28" s="123"/>
      <c r="I28" s="123"/>
    </row>
    <row r="29" spans="1:9" x14ac:dyDescent="0.3">
      <c r="B29" s="117" t="s">
        <v>330</v>
      </c>
      <c r="C29" s="118">
        <f t="shared" si="5"/>
        <v>9386776.6740170922</v>
      </c>
      <c r="D29" s="118" cm="1">
        <f t="array" ref="D29">SUMPRODUCT(--ISNUMBER((SEARCH("PF V", Ricavi!$B$4:$B$76))), Ricavi!$D$4:$D$76, Ricavi!$E$4:$E$76)</f>
        <v>8028278.8500000006</v>
      </c>
      <c r="E29" s="118">
        <f>D29-C29</f>
        <v>-1358497.8240170917</v>
      </c>
      <c r="F29" s="118" cm="1">
        <f t="array" ref="F29">SUMPRODUCT(--ISNUMBER((SEARCH("MP", Ricavi!$B$4:$B$76))), Ricavi!$D$4:$D$76/I6, Ricavi!$M$4:$M$76)</f>
        <v>795930.12512431026</v>
      </c>
      <c r="G29" s="123"/>
      <c r="H29" s="123"/>
      <c r="I29" s="123"/>
    </row>
    <row r="30" spans="1:9" x14ac:dyDescent="0.3">
      <c r="B30" s="117" t="s">
        <v>331</v>
      </c>
      <c r="C30" s="118">
        <f t="shared" si="5"/>
        <v>15581855.327799987</v>
      </c>
      <c r="D30" s="118" cm="1">
        <f t="array" ref="D30">SUMPRODUCT(--ISNUMBER((SEARCH("PF A", Ricavi!$B$4:$B$76))), Ricavi!$D$4:$D$76, Ricavi!$E$4:$E$76)</f>
        <v>13754406.152800001</v>
      </c>
      <c r="E30" s="118">
        <f>D30-C30</f>
        <v>-1827449.1749999858</v>
      </c>
      <c r="F30" s="118" cm="1">
        <f t="array" ref="F30">SUMPRODUCT(--ISNUMBER((SEARCH("MP", Ricavi!$B$4:$B$76))), Ricavi!$D$4:$D$76/I7, Ricavi!$M$4:$M$76)</f>
        <v>795930.12512431026</v>
      </c>
      <c r="G30" s="123"/>
      <c r="H30" s="123"/>
      <c r="I30" s="123"/>
    </row>
    <row r="31" spans="1:9" x14ac:dyDescent="0.3">
      <c r="B31" s="124"/>
      <c r="C31" s="125"/>
      <c r="D31" s="125"/>
      <c r="E31" s="125"/>
      <c r="F31" s="125"/>
      <c r="G31" s="125"/>
      <c r="H31" s="125"/>
      <c r="I31" s="125"/>
    </row>
    <row r="32" spans="1:9" x14ac:dyDescent="0.3">
      <c r="B32" s="117" t="s">
        <v>332</v>
      </c>
      <c r="C32" s="118">
        <f>SUM(C28:C30)</f>
        <v>68358549.01852648</v>
      </c>
      <c r="D32" s="118">
        <f>SUM(D28:D30)</f>
        <v>61227701.512800001</v>
      </c>
      <c r="E32" s="118">
        <f>D32-C32</f>
        <v>-7130847.505726479</v>
      </c>
      <c r="F32" s="123"/>
      <c r="G32" s="123"/>
      <c r="H32" s="123"/>
      <c r="I32" s="123"/>
    </row>
    <row r="33" spans="2:9" x14ac:dyDescent="0.3">
      <c r="B33" s="117" t="s">
        <v>327</v>
      </c>
      <c r="C33" s="118">
        <f>C26</f>
        <v>196584.24189999999</v>
      </c>
      <c r="D33" s="123">
        <f>D26</f>
        <v>528226.62545000017</v>
      </c>
      <c r="E33" s="118">
        <f t="shared" ref="E33:E94" si="6">D33-C33</f>
        <v>331642.38355000014</v>
      </c>
      <c r="F33" s="123"/>
      <c r="G33" s="123"/>
      <c r="H33" s="123"/>
      <c r="I33" s="123"/>
    </row>
    <row r="34" spans="2:9" x14ac:dyDescent="0.3">
      <c r="B34" s="117" t="s">
        <v>328</v>
      </c>
      <c r="C34" s="118">
        <f>C27</f>
        <v>2489618.9618799998</v>
      </c>
      <c r="D34" s="126">
        <f>D27</f>
        <v>1877590.3519999997</v>
      </c>
      <c r="E34" s="118">
        <f t="shared" si="6"/>
        <v>-612028.60988000012</v>
      </c>
      <c r="F34" s="123"/>
      <c r="G34" s="123"/>
      <c r="H34" s="123"/>
      <c r="I34" s="123"/>
    </row>
    <row r="35" spans="2:9" x14ac:dyDescent="0.3">
      <c r="B35" s="117" t="s">
        <v>333</v>
      </c>
      <c r="C35" s="123">
        <f>Ricavi!L65 - Ricavi!M66*Ricavi!L66</f>
        <v>-202771.84999999998</v>
      </c>
      <c r="D35" s="123">
        <f>SUM(Ricavi!E77*Ricavi!D77,Ricavi!D78*(-Ricavi!E78),Ricavi!D79*Ricavi!E79)</f>
        <v>66957.510000000068</v>
      </c>
      <c r="E35" s="118">
        <f t="shared" si="6"/>
        <v>269729.36000000004</v>
      </c>
      <c r="F35" s="123"/>
      <c r="G35" s="123"/>
      <c r="H35" s="123"/>
      <c r="I35" s="123"/>
    </row>
    <row r="36" spans="2:9" x14ac:dyDescent="0.3">
      <c r="B36" s="117" t="s">
        <v>334</v>
      </c>
      <c r="C36" s="123">
        <v>0</v>
      </c>
      <c r="D36" s="123">
        <v>500000</v>
      </c>
      <c r="E36" s="118">
        <f t="shared" si="6"/>
        <v>500000</v>
      </c>
      <c r="F36" s="123"/>
      <c r="G36" s="123"/>
      <c r="H36" s="123"/>
      <c r="I36" s="123"/>
    </row>
    <row r="37" spans="2:9" x14ac:dyDescent="0.3">
      <c r="B37" s="119"/>
      <c r="C37" s="125"/>
      <c r="D37" s="125"/>
      <c r="E37" s="120"/>
      <c r="F37" s="125"/>
      <c r="G37" s="125"/>
      <c r="H37" s="125"/>
      <c r="I37" s="125"/>
    </row>
    <row r="38" spans="2:9" x14ac:dyDescent="0.3">
      <c r="B38" s="127" t="s">
        <v>335</v>
      </c>
      <c r="C38" s="123">
        <f xml:space="preserve"> SUM(C32:C36)</f>
        <v>70841980.372306481</v>
      </c>
      <c r="D38" s="123">
        <f xml:space="preserve"> SUM(D32:D36)</f>
        <v>64200476.000249997</v>
      </c>
      <c r="E38" s="118">
        <f t="shared" si="6"/>
        <v>-6641504.3720564842</v>
      </c>
      <c r="F38" s="123"/>
      <c r="G38" s="123"/>
      <c r="H38" s="123"/>
      <c r="I38" s="123"/>
    </row>
    <row r="39" spans="2:9" x14ac:dyDescent="0.3">
      <c r="B39" s="119"/>
      <c r="C39" s="125"/>
      <c r="D39" s="125"/>
      <c r="E39" s="120"/>
      <c r="F39" s="125"/>
      <c r="G39" s="125"/>
      <c r="H39" s="125"/>
      <c r="I39" s="125"/>
    </row>
    <row r="40" spans="2:9" x14ac:dyDescent="0.3">
      <c r="B40" t="s">
        <v>336</v>
      </c>
      <c r="C40" s="123" cm="1">
        <f t="array" ref="C40">-SUM(RicaviBudget!D3:D63*RicaviBudget!F3:F63)</f>
        <v>-52760560.896493942</v>
      </c>
      <c r="D40" s="123" cm="1">
        <f t="array" ref="D40">-SUM(Ricavi!D4:D76*Ricavi!F4:F76)</f>
        <v>-46870805.517265007</v>
      </c>
      <c r="E40" s="118">
        <f t="shared" si="6"/>
        <v>5889755.3792289346</v>
      </c>
      <c r="F40" s="123"/>
      <c r="G40" s="123"/>
      <c r="H40" s="123"/>
      <c r="I40" s="123"/>
    </row>
    <row r="41" spans="2:9" x14ac:dyDescent="0.3">
      <c r="B41" t="s">
        <v>337</v>
      </c>
      <c r="C41" s="123">
        <v>0</v>
      </c>
      <c r="D41" s="123">
        <v>0</v>
      </c>
      <c r="E41" s="118">
        <f t="shared" si="6"/>
        <v>0</v>
      </c>
      <c r="F41" s="123"/>
      <c r="G41" s="123"/>
      <c r="H41" s="123"/>
      <c r="I41" s="123"/>
    </row>
    <row r="42" spans="2:9" x14ac:dyDescent="0.3">
      <c r="B42" s="119"/>
      <c r="C42" s="125"/>
      <c r="D42" s="125"/>
      <c r="E42" s="120"/>
      <c r="F42" s="125"/>
      <c r="G42" s="125"/>
      <c r="H42" s="125"/>
      <c r="I42" s="125"/>
    </row>
    <row r="43" spans="2:9" x14ac:dyDescent="0.3">
      <c r="B43" s="127" t="s">
        <v>338</v>
      </c>
      <c r="C43" s="123">
        <f>SUM(C40:C41)</f>
        <v>-52760560.896493942</v>
      </c>
      <c r="D43" s="123">
        <f>SUM(D40:D41)</f>
        <v>-46870805.517265007</v>
      </c>
      <c r="E43" s="118">
        <f t="shared" si="6"/>
        <v>5889755.3792289346</v>
      </c>
      <c r="F43" s="123"/>
      <c r="G43" s="123"/>
      <c r="H43" s="123"/>
      <c r="I43" s="123"/>
    </row>
    <row r="44" spans="2:9" x14ac:dyDescent="0.3">
      <c r="B44" s="119"/>
      <c r="C44" s="125"/>
      <c r="D44" s="125"/>
      <c r="E44" s="120"/>
      <c r="F44" s="125"/>
      <c r="G44" s="125"/>
      <c r="H44" s="125"/>
      <c r="I44" s="125"/>
    </row>
    <row r="45" spans="2:9" x14ac:dyDescent="0.3">
      <c r="B45" t="s">
        <v>339</v>
      </c>
      <c r="C45" s="128">
        <f>'CE Budget 2022'!C14</f>
        <v>-3445836.3538936325</v>
      </c>
      <c r="D45" s="128">
        <f>'CE Budget 2022'!F14</f>
        <v>-4152707.4956527753</v>
      </c>
      <c r="E45" s="118">
        <f t="shared" si="6"/>
        <v>-706871.14175914275</v>
      </c>
      <c r="F45" s="128"/>
      <c r="G45" s="128"/>
    </row>
    <row r="46" spans="2:9" x14ac:dyDescent="0.3">
      <c r="B46" t="s">
        <v>228</v>
      </c>
      <c r="C46" s="128">
        <f>'CE Budget 2022'!C15</f>
        <v>-153750</v>
      </c>
      <c r="D46" s="128">
        <v>-175000</v>
      </c>
      <c r="E46" s="118">
        <f t="shared" si="6"/>
        <v>-21250</v>
      </c>
      <c r="F46" s="128"/>
      <c r="G46" s="128"/>
    </row>
    <row r="47" spans="2:9" x14ac:dyDescent="0.3">
      <c r="B47" t="s">
        <v>340</v>
      </c>
      <c r="C47" s="128">
        <f>'CE Budget 2022'!C16</f>
        <v>-449211.74630400003</v>
      </c>
      <c r="D47" s="128">
        <v>-519959.9495168</v>
      </c>
      <c r="E47" s="118">
        <f t="shared" si="6"/>
        <v>-70748.20321279997</v>
      </c>
      <c r="F47" s="128"/>
      <c r="G47" s="128"/>
    </row>
    <row r="48" spans="2:9" x14ac:dyDescent="0.3">
      <c r="B48" s="119"/>
      <c r="C48" s="125"/>
      <c r="D48" s="125"/>
      <c r="E48" s="120"/>
      <c r="F48" s="125"/>
      <c r="G48" s="125"/>
      <c r="H48" s="125"/>
      <c r="I48" s="125"/>
    </row>
    <row r="49" spans="2:9" x14ac:dyDescent="0.3">
      <c r="B49" s="127" t="s">
        <v>341</v>
      </c>
      <c r="C49" s="128">
        <f>SUM(C45:C47)</f>
        <v>-4048798.1001976328</v>
      </c>
      <c r="D49" s="128">
        <v>-4847667.4451695755</v>
      </c>
      <c r="E49" s="118">
        <f t="shared" si="6"/>
        <v>-798869.34497194272</v>
      </c>
      <c r="F49" s="128"/>
      <c r="G49" s="128"/>
    </row>
    <row r="50" spans="2:9" x14ac:dyDescent="0.3">
      <c r="B50" s="119"/>
      <c r="C50" s="125"/>
      <c r="D50" s="125"/>
      <c r="E50" s="120"/>
      <c r="F50" s="125"/>
      <c r="G50" s="125"/>
      <c r="H50" s="125"/>
      <c r="I50" s="125"/>
    </row>
    <row r="51" spans="2:9" x14ac:dyDescent="0.3">
      <c r="B51" t="s">
        <v>342</v>
      </c>
      <c r="C51" s="128">
        <f>'CE Budget 2022'!C18</f>
        <v>-1471815.2299680002</v>
      </c>
      <c r="D51" s="128">
        <v>-1000000</v>
      </c>
      <c r="E51" s="118">
        <f t="shared" si="6"/>
        <v>471815.2299680002</v>
      </c>
      <c r="F51" s="128"/>
      <c r="G51" s="128"/>
    </row>
    <row r="52" spans="2:9" x14ac:dyDescent="0.3">
      <c r="B52" t="s">
        <v>343</v>
      </c>
      <c r="C52" s="128">
        <f>'CE Budget 2022'!C19</f>
        <v>-867798.34033418808</v>
      </c>
      <c r="D52" s="128">
        <v>-550000</v>
      </c>
      <c r="E52" s="118">
        <f t="shared" si="6"/>
        <v>317798.34033418808</v>
      </c>
      <c r="F52" s="128"/>
      <c r="G52" s="128"/>
    </row>
    <row r="53" spans="2:9" x14ac:dyDescent="0.3">
      <c r="B53" s="119"/>
      <c r="C53" s="125"/>
      <c r="D53" s="125"/>
      <c r="E53" s="120"/>
      <c r="F53" s="125"/>
      <c r="G53" s="125"/>
      <c r="H53" s="125"/>
      <c r="I53" s="125"/>
    </row>
    <row r="54" spans="2:9" x14ac:dyDescent="0.3">
      <c r="B54" s="127" t="s">
        <v>344</v>
      </c>
      <c r="C54" s="128">
        <f>SUM(C51+C52)</f>
        <v>-2339613.5703021884</v>
      </c>
      <c r="D54" s="128">
        <v>-1550000</v>
      </c>
      <c r="E54" s="118">
        <f t="shared" si="6"/>
        <v>789613.5703021884</v>
      </c>
      <c r="F54" s="128"/>
      <c r="G54" s="128"/>
    </row>
    <row r="55" spans="2:9" x14ac:dyDescent="0.3">
      <c r="B55" s="119"/>
      <c r="C55" s="125"/>
      <c r="D55" s="125"/>
      <c r="E55" s="120"/>
      <c r="F55" s="125"/>
      <c r="G55" s="125"/>
      <c r="H55" s="125"/>
      <c r="I55" s="125"/>
    </row>
    <row r="56" spans="2:9" x14ac:dyDescent="0.3">
      <c r="B56" s="130" t="s">
        <v>345</v>
      </c>
      <c r="C56" s="128">
        <f>C38+C43+C49+C54</f>
        <v>11693007.805312719</v>
      </c>
      <c r="D56" s="128">
        <f>D38+D43+D49+D54</f>
        <v>10932003.037815414</v>
      </c>
      <c r="E56" s="118">
        <f t="shared" si="6"/>
        <v>-761004.76749730483</v>
      </c>
      <c r="F56" s="128"/>
      <c r="G56" s="128"/>
    </row>
    <row r="57" spans="2:9" x14ac:dyDescent="0.3">
      <c r="B57" t="s">
        <v>346</v>
      </c>
      <c r="C57" s="128">
        <f>-FixedCostsBudget!C3</f>
        <v>-5594785.9100000001</v>
      </c>
      <c r="D57" s="128">
        <f>'CE Budget 2022'!F22</f>
        <v>-5650000</v>
      </c>
      <c r="E57" s="118">
        <f t="shared" si="6"/>
        <v>-55214.089999999851</v>
      </c>
      <c r="F57" s="128"/>
      <c r="G57" s="128"/>
    </row>
    <row r="58" spans="2:9" x14ac:dyDescent="0.3">
      <c r="B58" t="s">
        <v>238</v>
      </c>
      <c r="C58" s="128">
        <f>-FixedCostsBudget!C5</f>
        <v>-1050000</v>
      </c>
      <c r="D58" s="128">
        <f>'CE Budget 2022'!F23</f>
        <v>-1100000</v>
      </c>
      <c r="E58" s="118">
        <f t="shared" si="6"/>
        <v>-50000</v>
      </c>
      <c r="F58" s="128"/>
      <c r="G58" s="128"/>
    </row>
    <row r="59" spans="2:9" x14ac:dyDescent="0.3">
      <c r="B59" t="s">
        <v>239</v>
      </c>
      <c r="C59" s="128">
        <f>-FixedCostsBudget!C7</f>
        <v>-307500</v>
      </c>
      <c r="D59" s="128">
        <f>'CE Budget 2022'!F24</f>
        <v>-305000</v>
      </c>
      <c r="E59" s="118">
        <f t="shared" si="6"/>
        <v>2500</v>
      </c>
      <c r="F59" s="128"/>
      <c r="G59" s="128"/>
    </row>
    <row r="60" spans="2:9" x14ac:dyDescent="0.3">
      <c r="B60" t="s">
        <v>347</v>
      </c>
      <c r="C60" s="128">
        <f>-FixedCostsBudget!C9</f>
        <v>-151700</v>
      </c>
      <c r="D60" s="128">
        <f>'CE Budget 2022'!F25</f>
        <v>-145000</v>
      </c>
      <c r="E60" s="118">
        <f t="shared" si="6"/>
        <v>6700</v>
      </c>
      <c r="F60" s="128"/>
      <c r="G60" s="128"/>
    </row>
    <row r="61" spans="2:9" x14ac:dyDescent="0.3">
      <c r="B61" t="s">
        <v>348</v>
      </c>
      <c r="C61" s="128">
        <f>-FixedCostsBudget!C11</f>
        <v>-309550</v>
      </c>
      <c r="D61" s="128">
        <f>'CE Budget 2022'!F26</f>
        <v>-307000</v>
      </c>
      <c r="E61" s="118">
        <f t="shared" si="6"/>
        <v>2550</v>
      </c>
      <c r="F61" s="128"/>
      <c r="G61" s="128"/>
    </row>
    <row r="62" spans="2:9" x14ac:dyDescent="0.3">
      <c r="B62" t="s">
        <v>349</v>
      </c>
      <c r="C62" s="128">
        <f>-FixedCostsBudget!C13</f>
        <v>-212174.99999999997</v>
      </c>
      <c r="D62" s="128">
        <f>'CE Budget 2022'!F27</f>
        <v>-209500</v>
      </c>
      <c r="E62" s="118">
        <f t="shared" si="6"/>
        <v>2674.9999999999709</v>
      </c>
      <c r="F62" s="128"/>
      <c r="G62" s="128"/>
    </row>
    <row r="63" spans="2:9" x14ac:dyDescent="0.3">
      <c r="B63" s="119"/>
      <c r="C63" s="125"/>
      <c r="D63" s="125"/>
      <c r="E63" s="120"/>
      <c r="F63" s="125"/>
      <c r="G63" s="125"/>
      <c r="H63" s="125"/>
      <c r="I63" s="125"/>
    </row>
    <row r="64" spans="2:9" x14ac:dyDescent="0.3">
      <c r="B64" s="127" t="s">
        <v>350</v>
      </c>
      <c r="C64" s="128">
        <f>SUM(C57:C62)</f>
        <v>-7625710.9100000001</v>
      </c>
      <c r="D64" s="128">
        <f>'CE Budget 2022'!F28</f>
        <v>-7716500</v>
      </c>
      <c r="E64" s="118">
        <f t="shared" si="6"/>
        <v>-90789.089999999851</v>
      </c>
      <c r="F64" s="128"/>
      <c r="G64" s="128"/>
    </row>
    <row r="65" spans="2:9" x14ac:dyDescent="0.3">
      <c r="B65" s="119"/>
      <c r="C65" s="125"/>
      <c r="D65" s="125"/>
      <c r="E65" s="120"/>
      <c r="F65" s="125"/>
      <c r="G65" s="125"/>
      <c r="H65" s="125"/>
      <c r="I65" s="125"/>
    </row>
    <row r="66" spans="2:9" x14ac:dyDescent="0.3">
      <c r="B66" t="s">
        <v>351</v>
      </c>
      <c r="C66" s="128">
        <f>-FixedCostsBudget!C18</f>
        <v>-563750</v>
      </c>
      <c r="D66" s="128">
        <f>'CE Budget 2022'!F29</f>
        <v>-556000</v>
      </c>
      <c r="E66" s="118">
        <f t="shared" si="6"/>
        <v>7750</v>
      </c>
      <c r="F66" s="128"/>
      <c r="G66" s="128"/>
    </row>
    <row r="67" spans="2:9" x14ac:dyDescent="0.3">
      <c r="B67" t="s">
        <v>244</v>
      </c>
      <c r="C67" s="128">
        <f>-FixedCostsBudget!C20</f>
        <v>-307500</v>
      </c>
      <c r="D67" s="128">
        <f>'CE Budget 2022'!F30</f>
        <v>-297000</v>
      </c>
      <c r="E67" s="118">
        <f t="shared" si="6"/>
        <v>10500</v>
      </c>
      <c r="F67" s="128"/>
      <c r="G67" s="128"/>
    </row>
    <row r="68" spans="2:9" x14ac:dyDescent="0.3">
      <c r="B68" t="s">
        <v>245</v>
      </c>
      <c r="C68" s="128">
        <f>-FixedCostsBudget!C22</f>
        <v>-102499.99999999999</v>
      </c>
      <c r="D68" s="128">
        <f>'CE Budget 2022'!F31</f>
        <v>-98000</v>
      </c>
      <c r="E68" s="118">
        <f t="shared" si="6"/>
        <v>4499.9999999999854</v>
      </c>
      <c r="F68" s="128"/>
      <c r="G68" s="128"/>
    </row>
    <row r="69" spans="2:9" x14ac:dyDescent="0.3">
      <c r="B69" s="119"/>
      <c r="C69" s="125"/>
      <c r="D69" s="125"/>
      <c r="E69" s="120"/>
      <c r="F69" s="125"/>
      <c r="G69" s="125"/>
      <c r="H69" s="125"/>
      <c r="I69" s="125"/>
    </row>
    <row r="70" spans="2:9" x14ac:dyDescent="0.3">
      <c r="B70" s="127" t="s">
        <v>352</v>
      </c>
      <c r="C70" s="128">
        <f>SUM(C66:C68)</f>
        <v>-973750</v>
      </c>
      <c r="D70" s="128">
        <f>'CE Budget 2022'!F32</f>
        <v>-951000</v>
      </c>
      <c r="E70" s="118">
        <f t="shared" si="6"/>
        <v>22750</v>
      </c>
      <c r="F70" s="128"/>
      <c r="G70" s="128"/>
    </row>
    <row r="71" spans="2:9" x14ac:dyDescent="0.3">
      <c r="B71" s="129" t="s">
        <v>353</v>
      </c>
      <c r="C71" s="128">
        <f>+C56+C64+C70</f>
        <v>3093546.895312719</v>
      </c>
      <c r="D71" s="128">
        <f>'CE Budget 2022'!F33</f>
        <v>2384503.0378154144</v>
      </c>
      <c r="E71" s="118">
        <f t="shared" si="6"/>
        <v>-709043.85749730468</v>
      </c>
      <c r="F71" s="128"/>
      <c r="G71" s="128"/>
    </row>
    <row r="72" spans="2:9" x14ac:dyDescent="0.3">
      <c r="B72" s="129"/>
      <c r="C72" s="128"/>
      <c r="D72" s="128"/>
      <c r="E72" s="118"/>
      <c r="F72" s="128"/>
      <c r="G72" s="128"/>
    </row>
    <row r="73" spans="2:9" x14ac:dyDescent="0.3">
      <c r="B73" t="s">
        <v>94</v>
      </c>
      <c r="C73" s="128">
        <f>-OthersBudget!C3</f>
        <v>-200000</v>
      </c>
      <c r="D73" s="128">
        <f>'CE Budget 2022'!F34</f>
        <v>-190000</v>
      </c>
      <c r="E73" s="118">
        <f t="shared" si="6"/>
        <v>10000</v>
      </c>
      <c r="F73" s="128"/>
      <c r="G73" s="128"/>
    </row>
    <row r="74" spans="2:9" x14ac:dyDescent="0.3">
      <c r="B74" t="s">
        <v>95</v>
      </c>
      <c r="C74" s="128">
        <f>-OthersBudget!C5</f>
        <v>-796875</v>
      </c>
      <c r="D74" s="128">
        <f>'CE Budget 2022'!F35</f>
        <v>-810000</v>
      </c>
      <c r="E74" s="118">
        <f t="shared" si="6"/>
        <v>-13125</v>
      </c>
      <c r="F74" s="128"/>
      <c r="G74" s="128"/>
    </row>
    <row r="75" spans="2:9" x14ac:dyDescent="0.3">
      <c r="B75" t="s">
        <v>96</v>
      </c>
      <c r="C75" s="128">
        <f>-OthersBudget!C7</f>
        <v>0</v>
      </c>
      <c r="D75" s="128">
        <f>'CE Budget 2022'!F36</f>
        <v>-25000</v>
      </c>
      <c r="E75" s="118">
        <f t="shared" si="6"/>
        <v>-25000</v>
      </c>
      <c r="F75" s="128"/>
      <c r="G75" s="128"/>
    </row>
    <row r="76" spans="2:9" x14ac:dyDescent="0.3">
      <c r="B76" s="119"/>
      <c r="C76" s="125"/>
      <c r="D76" s="125"/>
      <c r="E76" s="120"/>
      <c r="F76" s="125"/>
      <c r="G76" s="125"/>
      <c r="H76" s="125"/>
      <c r="I76" s="125"/>
    </row>
    <row r="77" spans="2:9" x14ac:dyDescent="0.3">
      <c r="B77" s="127" t="s">
        <v>97</v>
      </c>
      <c r="C77" s="128">
        <f>SUM(C73:C75)</f>
        <v>-996875</v>
      </c>
      <c r="D77" s="128">
        <f>'CE Budget 2022'!F37</f>
        <v>-1025000</v>
      </c>
      <c r="E77" s="118">
        <f t="shared" si="6"/>
        <v>-28125</v>
      </c>
      <c r="F77" s="128"/>
      <c r="G77" s="128"/>
    </row>
    <row r="78" spans="2:9" x14ac:dyDescent="0.3">
      <c r="B78" s="130" t="s">
        <v>98</v>
      </c>
      <c r="C78" s="128">
        <f>+C71+C77</f>
        <v>2096671.895312719</v>
      </c>
      <c r="D78" s="128">
        <f>'CE Budget 2022'!F38</f>
        <v>1359503.0378154144</v>
      </c>
      <c r="E78" s="118">
        <f t="shared" si="6"/>
        <v>-737168.85749730468</v>
      </c>
      <c r="F78" s="128"/>
      <c r="G78" s="128"/>
    </row>
    <row r="79" spans="2:9" x14ac:dyDescent="0.3">
      <c r="B79" s="130"/>
      <c r="C79" s="128"/>
      <c r="D79" s="128"/>
      <c r="E79" s="118"/>
      <c r="F79" s="128"/>
      <c r="G79" s="128"/>
    </row>
    <row r="80" spans="2:9" x14ac:dyDescent="0.3">
      <c r="B80" t="s">
        <v>99</v>
      </c>
      <c r="C80" s="128">
        <f>-OthersBudget!C9</f>
        <v>-87500</v>
      </c>
      <c r="D80" s="128">
        <f>'CE Budget 2022'!F39</f>
        <v>-140133.03999999998</v>
      </c>
      <c r="E80" s="118">
        <f t="shared" si="6"/>
        <v>-52633.039999999979</v>
      </c>
      <c r="F80" s="128"/>
      <c r="G80" s="128"/>
    </row>
    <row r="81" spans="2:9" x14ac:dyDescent="0.3">
      <c r="B81" t="s">
        <v>100</v>
      </c>
      <c r="C81" s="128">
        <f>OthersBudget!C11</f>
        <v>0</v>
      </c>
      <c r="D81" s="128">
        <f>'CE Budget 2022'!F40</f>
        <v>3543.6200000000003</v>
      </c>
      <c r="E81" s="118">
        <f t="shared" si="6"/>
        <v>3543.6200000000003</v>
      </c>
      <c r="F81" s="128"/>
      <c r="G81" s="128"/>
    </row>
    <row r="82" spans="2:9" x14ac:dyDescent="0.3">
      <c r="B82" s="119"/>
      <c r="C82" s="125"/>
      <c r="D82" s="125"/>
      <c r="E82" s="120"/>
      <c r="F82" s="125"/>
      <c r="G82" s="125"/>
      <c r="H82" s="125"/>
      <c r="I82" s="125"/>
    </row>
    <row r="83" spans="2:9" x14ac:dyDescent="0.3">
      <c r="B83" s="127" t="s">
        <v>101</v>
      </c>
      <c r="C83" s="128">
        <f>SUM(C80:C81)</f>
        <v>-87500</v>
      </c>
      <c r="D83" s="128">
        <f>'CE Budget 2022'!F41</f>
        <v>-136589.41999999998</v>
      </c>
      <c r="E83" s="118">
        <f t="shared" si="6"/>
        <v>-49089.419999999984</v>
      </c>
      <c r="F83" s="128"/>
      <c r="G83" s="128"/>
    </row>
    <row r="84" spans="2:9" x14ac:dyDescent="0.3">
      <c r="B84" s="130" t="s">
        <v>102</v>
      </c>
      <c r="C84" s="128">
        <f>+C78+C83</f>
        <v>2009171.895312719</v>
      </c>
      <c r="D84" s="128">
        <f>'CE Budget 2022'!F42</f>
        <v>1222913.6178154144</v>
      </c>
      <c r="E84" s="118">
        <f t="shared" si="6"/>
        <v>-786258.2774973046</v>
      </c>
      <c r="F84" s="128"/>
      <c r="G84" s="128"/>
    </row>
    <row r="85" spans="2:9" x14ac:dyDescent="0.3">
      <c r="B85" t="s">
        <v>103</v>
      </c>
      <c r="C85" s="128">
        <f>-OthersBudget!C13</f>
        <v>0</v>
      </c>
      <c r="D85" s="128">
        <f>'CE Budget 2022'!F43</f>
        <v>-130503.97</v>
      </c>
      <c r="E85" s="118">
        <f t="shared" si="6"/>
        <v>-130503.97</v>
      </c>
      <c r="F85" s="128"/>
      <c r="G85" s="128"/>
    </row>
    <row r="86" spans="2:9" x14ac:dyDescent="0.3">
      <c r="B86" t="s">
        <v>104</v>
      </c>
      <c r="C86" s="128">
        <f>OthersBudget!C15</f>
        <v>0</v>
      </c>
      <c r="D86" s="128">
        <f>'CE Budget 2022'!F44</f>
        <v>0</v>
      </c>
      <c r="E86" s="118">
        <f t="shared" si="6"/>
        <v>0</v>
      </c>
      <c r="F86" s="128"/>
      <c r="G86" s="128"/>
    </row>
    <row r="87" spans="2:9" x14ac:dyDescent="0.3">
      <c r="B87" t="s">
        <v>105</v>
      </c>
      <c r="C87" s="128">
        <f>OthersBudget!C17</f>
        <v>0</v>
      </c>
      <c r="D87" s="128">
        <f>'CE Budget 2022'!F45</f>
        <v>0</v>
      </c>
      <c r="E87" s="118">
        <f t="shared" si="6"/>
        <v>0</v>
      </c>
      <c r="F87" s="128"/>
      <c r="G87" s="128"/>
    </row>
    <row r="88" spans="2:9" x14ac:dyDescent="0.3">
      <c r="B88" s="119"/>
      <c r="C88" s="125"/>
      <c r="D88" s="125"/>
      <c r="E88" s="120"/>
      <c r="F88" s="125"/>
      <c r="G88" s="125"/>
      <c r="H88" s="125"/>
      <c r="I88" s="125"/>
    </row>
    <row r="89" spans="2:9" x14ac:dyDescent="0.3">
      <c r="B89" s="127" t="s">
        <v>106</v>
      </c>
      <c r="C89" s="128">
        <f>SUM(C85:C87)</f>
        <v>0</v>
      </c>
      <c r="D89" s="128">
        <f>'CE Budget 2022'!F46</f>
        <v>-130503.97</v>
      </c>
      <c r="E89" s="118">
        <f t="shared" si="6"/>
        <v>-130503.97</v>
      </c>
      <c r="F89" s="128"/>
      <c r="G89" s="128"/>
    </row>
    <row r="90" spans="2:9" x14ac:dyDescent="0.3">
      <c r="B90" s="130" t="s">
        <v>107</v>
      </c>
      <c r="C90" s="128">
        <f>+C89+C84</f>
        <v>2009171.895312719</v>
      </c>
      <c r="D90" s="128">
        <f>'CE Budget 2022'!F47</f>
        <v>1092409.6478154145</v>
      </c>
      <c r="E90" s="118">
        <f t="shared" si="6"/>
        <v>-916762.24749730458</v>
      </c>
      <c r="F90" s="128"/>
      <c r="G90" s="128"/>
    </row>
    <row r="91" spans="2:9" x14ac:dyDescent="0.3">
      <c r="B91" s="130"/>
      <c r="C91" s="128"/>
      <c r="D91" s="128"/>
      <c r="E91" s="118"/>
      <c r="F91" s="128"/>
      <c r="G91" s="128"/>
    </row>
    <row r="92" spans="2:9" x14ac:dyDescent="0.3">
      <c r="B92" t="s">
        <v>108</v>
      </c>
      <c r="C92" s="128">
        <f>-OthersBudget!C19</f>
        <v>-602751.56859381567</v>
      </c>
      <c r="D92" s="128">
        <f>'CE Budget 2022'!F48</f>
        <v>-327722.8943446154</v>
      </c>
      <c r="E92" s="118">
        <f t="shared" si="6"/>
        <v>275028.67424920027</v>
      </c>
      <c r="F92" s="128"/>
      <c r="G92" s="128"/>
    </row>
    <row r="93" spans="2:9" x14ac:dyDescent="0.3">
      <c r="B93" s="119"/>
      <c r="C93" s="125"/>
      <c r="D93" s="125"/>
      <c r="E93" s="120"/>
      <c r="F93" s="125"/>
      <c r="G93" s="125"/>
      <c r="H93" s="125"/>
      <c r="I93" s="125"/>
    </row>
    <row r="94" spans="2:9" x14ac:dyDescent="0.3">
      <c r="B94" s="130" t="s">
        <v>109</v>
      </c>
      <c r="C94" s="128">
        <f>C90+C92</f>
        <v>1406420.3267189034</v>
      </c>
      <c r="D94" s="128">
        <f>'CE Budget 2022'!F49</f>
        <v>764686.75347079907</v>
      </c>
      <c r="E94" s="118">
        <f t="shared" si="6"/>
        <v>-641733.57324810431</v>
      </c>
      <c r="F94" s="128"/>
      <c r="G94" s="128"/>
    </row>
    <row r="95" spans="2:9" x14ac:dyDescent="0.3">
      <c r="C95" s="128"/>
      <c r="D95" s="128"/>
      <c r="E95" s="128"/>
      <c r="F95" s="128"/>
      <c r="G95" s="128"/>
    </row>
    <row r="96" spans="2:9" x14ac:dyDescent="0.3">
      <c r="C96" s="128"/>
      <c r="D96" s="128"/>
      <c r="E96" s="128"/>
      <c r="F96" s="128"/>
      <c r="G96" s="128"/>
    </row>
    <row r="97" spans="3:7" x14ac:dyDescent="0.3">
      <c r="C97" s="128"/>
      <c r="D97" s="128"/>
      <c r="E97" s="128"/>
      <c r="F97" s="128"/>
      <c r="G97" s="128"/>
    </row>
    <row r="98" spans="3:7" x14ac:dyDescent="0.3">
      <c r="C98" s="128"/>
      <c r="D98" s="128"/>
      <c r="E98" s="128"/>
      <c r="F98" s="128"/>
      <c r="G98" s="128"/>
    </row>
    <row r="99" spans="3:7" x14ac:dyDescent="0.3">
      <c r="C99" s="128"/>
      <c r="D99" s="128"/>
      <c r="E99" s="128"/>
      <c r="F99" s="128"/>
      <c r="G99" s="128"/>
    </row>
    <row r="100" spans="3:7" x14ac:dyDescent="0.3">
      <c r="C100" s="128"/>
      <c r="D100" s="128"/>
      <c r="E100" s="128"/>
      <c r="F100" s="128"/>
      <c r="G100" s="128"/>
    </row>
    <row r="101" spans="3:7" x14ac:dyDescent="0.3">
      <c r="C101" s="128"/>
      <c r="D101" s="128"/>
      <c r="E101" s="128"/>
      <c r="F101" s="128"/>
      <c r="G101" s="128"/>
    </row>
    <row r="102" spans="3:7" x14ac:dyDescent="0.3">
      <c r="C102" s="128"/>
      <c r="D102" s="128"/>
      <c r="E102" s="128"/>
      <c r="F102" s="128"/>
      <c r="G102" s="128"/>
    </row>
    <row r="103" spans="3:7" x14ac:dyDescent="0.3">
      <c r="C103" s="128"/>
      <c r="D103" s="128"/>
      <c r="E103" s="128"/>
      <c r="F103" s="128"/>
      <c r="G103" s="128"/>
    </row>
    <row r="104" spans="3:7" x14ac:dyDescent="0.3">
      <c r="C104" s="128"/>
      <c r="D104" s="128"/>
      <c r="E104" s="128"/>
      <c r="F104" s="128"/>
      <c r="G104" s="128"/>
    </row>
    <row r="105" spans="3:7" x14ac:dyDescent="0.3">
      <c r="C105" s="128"/>
      <c r="D105" s="128"/>
      <c r="E105" s="128"/>
      <c r="F105" s="128"/>
      <c r="G105" s="128"/>
    </row>
    <row r="106" spans="3:7" x14ac:dyDescent="0.3">
      <c r="C106" s="128"/>
      <c r="D106" s="128"/>
      <c r="E106" s="128"/>
      <c r="F106" s="128"/>
      <c r="G106" s="128"/>
    </row>
    <row r="107" spans="3:7" x14ac:dyDescent="0.3">
      <c r="C107" s="128"/>
      <c r="D107" s="128"/>
      <c r="E107" s="128"/>
      <c r="F107" s="128"/>
      <c r="G107" s="128"/>
    </row>
    <row r="108" spans="3:7" x14ac:dyDescent="0.3">
      <c r="C108" s="128"/>
      <c r="D108" s="128"/>
      <c r="E108" s="128"/>
      <c r="F108" s="128"/>
      <c r="G108" s="128"/>
    </row>
    <row r="109" spans="3:7" x14ac:dyDescent="0.3">
      <c r="C109" s="128"/>
      <c r="D109" s="128"/>
      <c r="E109" s="128"/>
      <c r="F109" s="128"/>
      <c r="G109" s="128"/>
    </row>
    <row r="110" spans="3:7" x14ac:dyDescent="0.3">
      <c r="C110" s="128"/>
      <c r="D110" s="128"/>
      <c r="E110" s="128"/>
      <c r="F110" s="128"/>
      <c r="G110" s="128"/>
    </row>
    <row r="111" spans="3:7" x14ac:dyDescent="0.3">
      <c r="C111" s="128"/>
      <c r="D111" s="128"/>
      <c r="E111" s="128"/>
      <c r="F111" s="128"/>
      <c r="G111" s="128"/>
    </row>
    <row r="112" spans="3:7" x14ac:dyDescent="0.3">
      <c r="C112" s="128"/>
      <c r="D112" s="128"/>
      <c r="E112" s="128"/>
      <c r="F112" s="128"/>
      <c r="G112" s="128"/>
    </row>
    <row r="113" spans="3:7" x14ac:dyDescent="0.3">
      <c r="C113" s="128"/>
      <c r="D113" s="128"/>
      <c r="E113" s="128"/>
      <c r="F113" s="128"/>
      <c r="G113" s="128"/>
    </row>
    <row r="114" spans="3:7" x14ac:dyDescent="0.3">
      <c r="C114" s="128"/>
      <c r="D114" s="128"/>
      <c r="E114" s="128"/>
      <c r="F114" s="128"/>
      <c r="G114" s="128"/>
    </row>
    <row r="115" spans="3:7" x14ac:dyDescent="0.3">
      <c r="C115" s="128"/>
      <c r="D115" s="128"/>
      <c r="E115" s="128"/>
      <c r="F115" s="128"/>
      <c r="G115" s="128"/>
    </row>
    <row r="116" spans="3:7" x14ac:dyDescent="0.3">
      <c r="C116" s="128"/>
      <c r="D116" s="128"/>
      <c r="E116" s="128"/>
      <c r="F116" s="128"/>
      <c r="G116" s="128"/>
    </row>
    <row r="117" spans="3:7" x14ac:dyDescent="0.3">
      <c r="C117" s="128"/>
      <c r="D117" s="128"/>
      <c r="E117" s="128"/>
      <c r="F117" s="128"/>
      <c r="G117" s="128"/>
    </row>
    <row r="118" spans="3:7" x14ac:dyDescent="0.3">
      <c r="C118" s="128"/>
      <c r="D118" s="128"/>
      <c r="E118" s="128"/>
      <c r="F118" s="128"/>
      <c r="G118" s="128"/>
    </row>
    <row r="119" spans="3:7" x14ac:dyDescent="0.3">
      <c r="C119" s="128"/>
      <c r="D119" s="128"/>
      <c r="E119" s="128"/>
      <c r="F119" s="128"/>
      <c r="G119" s="128"/>
    </row>
    <row r="120" spans="3:7" x14ac:dyDescent="0.3">
      <c r="C120" s="128"/>
      <c r="D120" s="128"/>
      <c r="E120" s="128"/>
      <c r="F120" s="128"/>
      <c r="G120" s="128"/>
    </row>
    <row r="121" spans="3:7" x14ac:dyDescent="0.3">
      <c r="C121" s="128"/>
      <c r="D121" s="128"/>
      <c r="E121" s="128"/>
      <c r="F121" s="128"/>
      <c r="G121" s="128"/>
    </row>
    <row r="122" spans="3:7" x14ac:dyDescent="0.3">
      <c r="C122" s="128"/>
      <c r="D122" s="128"/>
      <c r="E122" s="128"/>
      <c r="F122" s="128"/>
      <c r="G122" s="128"/>
    </row>
    <row r="123" spans="3:7" x14ac:dyDescent="0.3">
      <c r="C123" s="128"/>
      <c r="D123" s="128"/>
      <c r="E123" s="128"/>
      <c r="F123" s="128"/>
      <c r="G123" s="128"/>
    </row>
    <row r="124" spans="3:7" x14ac:dyDescent="0.3">
      <c r="C124" s="128"/>
      <c r="D124" s="128"/>
      <c r="E124" s="128"/>
      <c r="F124" s="128"/>
      <c r="G124" s="128"/>
    </row>
    <row r="125" spans="3:7" x14ac:dyDescent="0.3">
      <c r="C125" s="128"/>
      <c r="D125" s="128"/>
      <c r="E125" s="128"/>
      <c r="F125" s="128"/>
      <c r="G125" s="128"/>
    </row>
    <row r="126" spans="3:7" x14ac:dyDescent="0.3">
      <c r="C126" s="128"/>
      <c r="D126" s="128"/>
      <c r="E126" s="128"/>
      <c r="F126" s="128"/>
      <c r="G126" s="128"/>
    </row>
    <row r="127" spans="3:7" x14ac:dyDescent="0.3">
      <c r="C127" s="128"/>
      <c r="D127" s="128"/>
      <c r="E127" s="128"/>
      <c r="F127" s="128"/>
      <c r="G127" s="128"/>
    </row>
    <row r="128" spans="3:7" x14ac:dyDescent="0.3">
      <c r="C128" s="128"/>
      <c r="D128" s="128"/>
      <c r="E128" s="128"/>
      <c r="F128" s="128"/>
      <c r="G128" s="128"/>
    </row>
    <row r="129" spans="3:7" x14ac:dyDescent="0.3">
      <c r="C129" s="128"/>
      <c r="D129" s="128"/>
      <c r="E129" s="128"/>
      <c r="F129" s="128"/>
      <c r="G129" s="128"/>
    </row>
    <row r="130" spans="3:7" x14ac:dyDescent="0.3">
      <c r="C130" s="128"/>
      <c r="D130" s="128"/>
      <c r="E130" s="128"/>
      <c r="F130" s="128"/>
      <c r="G130" s="128"/>
    </row>
    <row r="131" spans="3:7" x14ac:dyDescent="0.3">
      <c r="C131" s="128"/>
      <c r="D131" s="128"/>
      <c r="E131" s="128"/>
      <c r="F131" s="128"/>
      <c r="G131" s="128"/>
    </row>
    <row r="132" spans="3:7" x14ac:dyDescent="0.3">
      <c r="C132" s="128"/>
      <c r="D132" s="128"/>
      <c r="E132" s="128"/>
      <c r="F132" s="128"/>
      <c r="G132" s="128"/>
    </row>
    <row r="133" spans="3:7" x14ac:dyDescent="0.3">
      <c r="C133" s="128"/>
      <c r="D133" s="128"/>
      <c r="E133" s="128"/>
      <c r="F133" s="128"/>
      <c r="G133" s="128"/>
    </row>
    <row r="134" spans="3:7" x14ac:dyDescent="0.3">
      <c r="C134" s="128"/>
      <c r="D134" s="128"/>
      <c r="E134" s="128"/>
      <c r="F134" s="128"/>
      <c r="G134" s="128"/>
    </row>
    <row r="135" spans="3:7" x14ac:dyDescent="0.3">
      <c r="C135" s="128"/>
      <c r="D135" s="128"/>
      <c r="E135" s="128"/>
      <c r="F135" s="128"/>
      <c r="G135" s="128"/>
    </row>
  </sheetData>
  <mergeCells count="3">
    <mergeCell ref="A14:A18"/>
    <mergeCell ref="A20:A24"/>
    <mergeCell ref="B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6F80-CE68-41EB-ABBB-DDA3104E92AF}">
  <dimension ref="A1:I45"/>
  <sheetViews>
    <sheetView zoomScale="60" zoomScaleNormal="60" workbookViewId="0">
      <selection activeCell="H11" sqref="H11"/>
    </sheetView>
  </sheetViews>
  <sheetFormatPr defaultRowHeight="14.4" x14ac:dyDescent="0.3"/>
  <cols>
    <col min="2" max="2" width="34.21875" bestFit="1" customWidth="1"/>
    <col min="3" max="3" width="13.109375" bestFit="1" customWidth="1"/>
    <col min="4" max="5" width="12.77734375" bestFit="1" customWidth="1"/>
    <col min="6" max="6" width="26.21875" bestFit="1" customWidth="1"/>
    <col min="7" max="7" width="20.5546875" bestFit="1" customWidth="1"/>
    <col min="8" max="8" width="18.21875" customWidth="1"/>
    <col min="9" max="9" width="13.109375" bestFit="1" customWidth="1"/>
  </cols>
  <sheetData>
    <row r="1" spans="1:9" x14ac:dyDescent="0.3">
      <c r="A1" s="96"/>
      <c r="B1" s="96"/>
      <c r="C1" s="96"/>
      <c r="D1" s="96"/>
      <c r="E1" s="96"/>
      <c r="F1" s="96"/>
      <c r="G1" s="96"/>
      <c r="H1" s="96"/>
    </row>
    <row r="2" spans="1:9" x14ac:dyDescent="0.3">
      <c r="A2" s="96"/>
      <c r="B2" s="96" t="s">
        <v>213</v>
      </c>
      <c r="C2" s="96">
        <f>3450000</f>
        <v>3450000</v>
      </c>
      <c r="D2" s="96"/>
      <c r="E2" s="96"/>
      <c r="F2" s="96"/>
      <c r="G2" s="96"/>
      <c r="H2" s="96"/>
    </row>
    <row r="3" spans="1:9" x14ac:dyDescent="0.3">
      <c r="A3" s="96"/>
      <c r="B3" s="96" t="s">
        <v>214</v>
      </c>
      <c r="C3" s="96">
        <v>0.41</v>
      </c>
      <c r="D3" s="96"/>
      <c r="E3" s="96" t="s">
        <v>200</v>
      </c>
      <c r="F3" s="96" t="s">
        <v>211</v>
      </c>
      <c r="G3" s="96" t="s">
        <v>212</v>
      </c>
      <c r="H3" s="96" t="s">
        <v>301</v>
      </c>
      <c r="I3" s="96" t="s">
        <v>302</v>
      </c>
    </row>
    <row r="4" spans="1:9" x14ac:dyDescent="0.3">
      <c r="A4" s="96"/>
      <c r="B4" s="96" t="s">
        <v>215</v>
      </c>
      <c r="C4" s="96">
        <f>1-C3</f>
        <v>0.59000000000000008</v>
      </c>
      <c r="D4" s="96"/>
      <c r="E4" s="96" t="s">
        <v>113</v>
      </c>
      <c r="F4" s="96">
        <f>SUMIF(RicaviBudget!$H:$H,"P",RicaviBudget!$D:$D)</f>
        <v>14624683</v>
      </c>
      <c r="G4" s="96">
        <f>F4/1000</f>
        <v>14624.683000000001</v>
      </c>
      <c r="H4" s="96">
        <f>C23*G4*C24</f>
        <v>1343277.1335500001</v>
      </c>
      <c r="I4" s="107">
        <f>G4*(C26+C22*C27)</f>
        <v>3512848.8566000001</v>
      </c>
    </row>
    <row r="5" spans="1:9" x14ac:dyDescent="0.3">
      <c r="A5" s="96"/>
      <c r="B5" s="96" t="s">
        <v>216</v>
      </c>
      <c r="C5" s="96">
        <v>8997222.2200000007</v>
      </c>
      <c r="D5" s="96"/>
      <c r="E5" s="96" t="s">
        <v>208</v>
      </c>
      <c r="F5" s="96">
        <f>SUMIF(RicaviBudget!$H:$H,"V",RicaviBudget!$D:$D)</f>
        <v>6470002</v>
      </c>
      <c r="G5" s="96">
        <f t="shared" ref="G5:G6" si="0">F5/1000</f>
        <v>6470.0020000000004</v>
      </c>
      <c r="H5" s="96">
        <f>C21*G5*C24</f>
        <v>355850.11000000004</v>
      </c>
      <c r="I5" s="107">
        <f>G5*C27</f>
        <v>388200.12</v>
      </c>
    </row>
    <row r="6" spans="1:9" x14ac:dyDescent="0.3">
      <c r="A6" s="96"/>
      <c r="B6" s="96" t="s">
        <v>217</v>
      </c>
      <c r="C6" s="96">
        <v>4300000</v>
      </c>
      <c r="D6" s="96"/>
      <c r="E6" s="96" t="s">
        <v>209</v>
      </c>
      <c r="F6" s="96">
        <f>SUMIF(RicaviBudget!$H:$H,"A",RicaviBudget!$D:$CE)+SUMIF(RicaviBudget!$H:$H,"PCL",RicaviBudget!$D:$CE)</f>
        <v>12975111.99</v>
      </c>
      <c r="G6" s="96">
        <f t="shared" si="0"/>
        <v>12975.111989999999</v>
      </c>
      <c r="H6" s="96">
        <f>G6*C20*C24</f>
        <v>1038008.9592</v>
      </c>
      <c r="I6" s="107">
        <f>G6*C28</f>
        <v>843382.27934999997</v>
      </c>
    </row>
    <row r="7" spans="1:9" x14ac:dyDescent="0.3">
      <c r="A7" s="96"/>
      <c r="B7" s="96"/>
      <c r="C7" s="96"/>
      <c r="D7" s="96"/>
      <c r="E7" s="96" t="s">
        <v>210</v>
      </c>
      <c r="F7" s="96">
        <f xml:space="preserve"> SUM(F4:F6)</f>
        <v>34069796.990000002</v>
      </c>
      <c r="G7" s="96">
        <f>G6+G5+G4</f>
        <v>34069.796990000003</v>
      </c>
      <c r="H7" s="96"/>
    </row>
    <row r="8" spans="1:9" x14ac:dyDescent="0.3">
      <c r="A8" s="96"/>
      <c r="B8" s="96" t="s">
        <v>218</v>
      </c>
      <c r="C8" s="96">
        <f>C2*C3</f>
        <v>1414500</v>
      </c>
      <c r="D8" s="96"/>
      <c r="E8" s="96"/>
      <c r="F8" s="96" t="s">
        <v>198</v>
      </c>
      <c r="G8" s="96" t="s">
        <v>202</v>
      </c>
      <c r="H8" s="96" t="s">
        <v>201</v>
      </c>
    </row>
    <row r="9" spans="1:9" x14ac:dyDescent="0.3">
      <c r="A9" s="96"/>
      <c r="B9" s="96" t="s">
        <v>219</v>
      </c>
      <c r="C9" s="96">
        <f>C2*C4</f>
        <v>2035500.0000000002</v>
      </c>
      <c r="D9" s="96"/>
      <c r="E9" s="96"/>
      <c r="F9" s="96" t="s">
        <v>226</v>
      </c>
      <c r="G9" s="96">
        <f>(H4+H5+H6)*C18</f>
        <v>1477079.6382314637</v>
      </c>
      <c r="H9" s="96"/>
    </row>
    <row r="10" spans="1:9" x14ac:dyDescent="0.3">
      <c r="A10" s="96"/>
      <c r="B10" s="96"/>
      <c r="C10" s="96"/>
      <c r="D10" s="96"/>
      <c r="E10" s="96"/>
      <c r="F10" s="96" t="s">
        <v>227</v>
      </c>
      <c r="G10" s="96">
        <f>(I4+I5+I6+C30)*C17</f>
        <v>1403824.5342806277</v>
      </c>
      <c r="H10" s="96"/>
    </row>
    <row r="11" spans="1:9" x14ac:dyDescent="0.3">
      <c r="A11" s="96"/>
      <c r="B11" s="96" t="s">
        <v>220</v>
      </c>
      <c r="C11" s="96">
        <f>C8/C5</f>
        <v>0.15721518991224825</v>
      </c>
      <c r="D11" s="96"/>
      <c r="E11" s="96"/>
      <c r="F11" s="96" t="s">
        <v>228</v>
      </c>
      <c r="G11" s="96">
        <f>-'CE 21-22'!F15 *1.025</f>
        <v>153750</v>
      </c>
      <c r="H11" s="96"/>
    </row>
    <row r="12" spans="1:9" x14ac:dyDescent="0.3">
      <c r="A12" s="96"/>
      <c r="B12" s="96" t="s">
        <v>221</v>
      </c>
      <c r="C12" s="96">
        <f>C9/C6</f>
        <v>0.47337209302325589</v>
      </c>
      <c r="D12" s="96"/>
      <c r="E12" s="96"/>
      <c r="F12" s="96" t="s">
        <v>229</v>
      </c>
      <c r="G12" s="96">
        <f>(G5+G6+G4*C22)*C32</f>
        <v>449211.74630400003</v>
      </c>
    </row>
    <row r="13" spans="1:9" x14ac:dyDescent="0.3">
      <c r="A13" s="96"/>
      <c r="B13" s="96"/>
      <c r="C13" s="96"/>
      <c r="D13" s="96"/>
      <c r="E13" s="110"/>
      <c r="F13" s="96" t="s">
        <v>230</v>
      </c>
      <c r="G13" s="96">
        <f>G7*C36</f>
        <v>1471815.2299680002</v>
      </c>
    </row>
    <row r="14" spans="1:9" x14ac:dyDescent="0.3">
      <c r="A14" s="96"/>
      <c r="B14" s="96" t="s">
        <v>222</v>
      </c>
      <c r="C14" s="96">
        <v>0.11</v>
      </c>
      <c r="D14" s="96"/>
      <c r="E14" s="96"/>
      <c r="F14" s="96" t="s">
        <v>231</v>
      </c>
      <c r="G14" s="96">
        <f>(SUMIF(RicaviBudget!$H:$H,"P",RicaviBudget!$G:$G))*C38</f>
        <v>867798.34033418808</v>
      </c>
    </row>
    <row r="15" spans="1:9" x14ac:dyDescent="0.3">
      <c r="A15" s="96"/>
      <c r="B15" s="96" t="s">
        <v>223</v>
      </c>
      <c r="C15" s="96">
        <v>0.14000000000000001</v>
      </c>
      <c r="D15" s="96"/>
      <c r="E15" s="96"/>
      <c r="F15" s="96" t="s">
        <v>236</v>
      </c>
      <c r="G15" s="96">
        <f>C44*C45</f>
        <v>564932.18138154072</v>
      </c>
      <c r="H15" s="96"/>
    </row>
    <row r="16" spans="1:9" x14ac:dyDescent="0.3">
      <c r="A16" s="96"/>
      <c r="B16" s="96"/>
      <c r="C16" s="96"/>
      <c r="D16" s="96"/>
      <c r="E16" s="96"/>
      <c r="F16" s="96"/>
      <c r="G16" s="96"/>
      <c r="H16" s="96"/>
    </row>
    <row r="17" spans="1:8" x14ac:dyDescent="0.3">
      <c r="A17" s="96"/>
      <c r="B17" s="96" t="s">
        <v>224</v>
      </c>
      <c r="C17" s="96">
        <f>C11*(1+C14)</f>
        <v>0.17450886080259559</v>
      </c>
      <c r="D17" s="96"/>
      <c r="E17" s="96"/>
      <c r="F17" s="97" t="s">
        <v>232</v>
      </c>
      <c r="G17" s="97">
        <f>SUM(G9:G15)</f>
        <v>6388411.6704998203</v>
      </c>
      <c r="H17" s="96"/>
    </row>
    <row r="18" spans="1:8" x14ac:dyDescent="0.3">
      <c r="A18" s="96"/>
      <c r="B18" s="96" t="s">
        <v>225</v>
      </c>
      <c r="C18" s="96">
        <f>C12*(1+C15)</f>
        <v>0.53964418604651176</v>
      </c>
      <c r="D18" s="96"/>
      <c r="E18" s="96"/>
      <c r="F18" s="96"/>
      <c r="G18" s="96"/>
      <c r="H18" s="96"/>
    </row>
    <row r="19" spans="1:8" x14ac:dyDescent="0.3">
      <c r="A19" s="96"/>
      <c r="B19" s="96"/>
      <c r="C19" s="96"/>
      <c r="D19" s="96"/>
      <c r="E19" s="96"/>
      <c r="F19" s="96"/>
      <c r="G19" s="96"/>
      <c r="H19" s="96"/>
    </row>
    <row r="20" spans="1:8" x14ac:dyDescent="0.3">
      <c r="A20" s="96"/>
      <c r="B20" s="96" t="s">
        <v>299</v>
      </c>
      <c r="C20" s="96">
        <f>VariableCosts!E6</f>
        <v>0.93023255813953487</v>
      </c>
      <c r="D20" s="96"/>
      <c r="E20" s="96"/>
      <c r="F20" s="96"/>
      <c r="G20" s="96"/>
      <c r="H20" s="96"/>
    </row>
    <row r="21" spans="1:8" x14ac:dyDescent="0.3">
      <c r="A21" s="96"/>
      <c r="B21" s="96" t="s">
        <v>300</v>
      </c>
      <c r="C21" s="96">
        <f>VariableCosts!E7</f>
        <v>0.63953488372093026</v>
      </c>
      <c r="D21" s="96"/>
      <c r="E21" s="96"/>
      <c r="F21" s="96"/>
      <c r="G21" s="96"/>
      <c r="H21" s="96"/>
    </row>
    <row r="22" spans="1:8" x14ac:dyDescent="0.3">
      <c r="A22" s="96"/>
      <c r="B22" s="96" t="s">
        <v>274</v>
      </c>
      <c r="C22">
        <v>1.67</v>
      </c>
      <c r="D22" s="96"/>
      <c r="E22" s="96"/>
      <c r="F22" s="96"/>
      <c r="G22" s="96"/>
      <c r="H22" s="96"/>
    </row>
    <row r="23" spans="1:8" x14ac:dyDescent="0.3">
      <c r="A23" s="96"/>
      <c r="B23" s="96" t="s">
        <v>276</v>
      </c>
      <c r="C23" s="106">
        <f>C22*C21</f>
        <v>1.0680232558139535</v>
      </c>
      <c r="D23" s="96"/>
      <c r="E23" s="96"/>
      <c r="F23" s="96"/>
      <c r="G23" s="96"/>
      <c r="H23" s="96"/>
    </row>
    <row r="24" spans="1:8" x14ac:dyDescent="0.3">
      <c r="B24" s="96" t="s">
        <v>249</v>
      </c>
      <c r="C24" s="96">
        <v>86</v>
      </c>
    </row>
    <row r="25" spans="1:8" x14ac:dyDescent="0.3">
      <c r="C25" s="96"/>
    </row>
    <row r="26" spans="1:8" x14ac:dyDescent="0.3">
      <c r="B26" s="96" t="s">
        <v>275</v>
      </c>
      <c r="C26" s="96">
        <f>VariableCosts!C12</f>
        <v>140</v>
      </c>
    </row>
    <row r="27" spans="1:8" x14ac:dyDescent="0.3">
      <c r="B27" s="96" t="s">
        <v>250</v>
      </c>
      <c r="C27" s="96">
        <f>VariableCosts!C11</f>
        <v>60</v>
      </c>
    </row>
    <row r="28" spans="1:8" x14ac:dyDescent="0.3">
      <c r="B28" s="96" t="s">
        <v>251</v>
      </c>
      <c r="C28" s="96">
        <f>VariableCosts!C10</f>
        <v>65</v>
      </c>
    </row>
    <row r="29" spans="1:8" x14ac:dyDescent="0.3">
      <c r="B29" s="96" t="s">
        <v>264</v>
      </c>
      <c r="C29" s="96">
        <f>VariableCosts!C13</f>
        <v>275000</v>
      </c>
    </row>
    <row r="30" spans="1:8" x14ac:dyDescent="0.3">
      <c r="B30" s="96" t="s">
        <v>265</v>
      </c>
      <c r="C30" s="96">
        <f>C29*12</f>
        <v>3300000</v>
      </c>
    </row>
    <row r="32" spans="1:8" x14ac:dyDescent="0.3">
      <c r="B32" s="96" t="s">
        <v>266</v>
      </c>
      <c r="C32" s="96">
        <v>10.24</v>
      </c>
    </row>
    <row r="34" spans="2:3" x14ac:dyDescent="0.3">
      <c r="B34" s="96" t="s">
        <v>267</v>
      </c>
      <c r="C34" s="96">
        <v>40</v>
      </c>
    </row>
    <row r="35" spans="2:3" x14ac:dyDescent="0.3">
      <c r="B35" t="s">
        <v>268</v>
      </c>
      <c r="C35" s="96">
        <v>0.08</v>
      </c>
    </row>
    <row r="36" spans="2:3" x14ac:dyDescent="0.3">
      <c r="B36" s="96" t="s">
        <v>269</v>
      </c>
      <c r="C36">
        <f>C34*(1+C35)</f>
        <v>43.2</v>
      </c>
    </row>
    <row r="38" spans="2:3" x14ac:dyDescent="0.3">
      <c r="B38" t="s">
        <v>270</v>
      </c>
      <c r="C38" s="96">
        <v>0.02</v>
      </c>
    </row>
    <row r="40" spans="2:3" x14ac:dyDescent="0.3">
      <c r="B40" s="96" t="s">
        <v>233</v>
      </c>
      <c r="C40" s="96">
        <f>G4*C23</f>
        <v>15619.501552906979</v>
      </c>
    </row>
    <row r="41" spans="2:3" x14ac:dyDescent="0.3">
      <c r="B41" s="96" t="s">
        <v>273</v>
      </c>
      <c r="C41" s="96">
        <f>G5*C21</f>
        <v>4137.7919767441863</v>
      </c>
    </row>
    <row r="42" spans="2:3" x14ac:dyDescent="0.3">
      <c r="B42" s="96" t="s">
        <v>272</v>
      </c>
      <c r="C42" s="107">
        <f>G6*C20</f>
        <v>12069.871618604651</v>
      </c>
    </row>
    <row r="43" spans="2:3" x14ac:dyDescent="0.3">
      <c r="B43" s="96" t="s">
        <v>234</v>
      </c>
      <c r="C43" s="96">
        <f>C41+C40+C42</f>
        <v>31827.165148255815</v>
      </c>
    </row>
    <row r="44" spans="2:3" x14ac:dyDescent="0.3">
      <c r="B44" s="96" t="s">
        <v>235</v>
      </c>
      <c r="C44" s="96">
        <f>C43*0.25</f>
        <v>7956.7912870639539</v>
      </c>
    </row>
    <row r="45" spans="2:3" x14ac:dyDescent="0.3">
      <c r="B45" s="96" t="s">
        <v>252</v>
      </c>
      <c r="C45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CE 21-22</vt:lpstr>
      <vt:lpstr>Ricavi</vt:lpstr>
      <vt:lpstr>RicaviBudget</vt:lpstr>
      <vt:lpstr>VariableCosts</vt:lpstr>
      <vt:lpstr>VariableCostsBudget</vt:lpstr>
      <vt:lpstr>FixedCosts</vt:lpstr>
      <vt:lpstr>FixedCostsBudget</vt:lpstr>
      <vt:lpstr>Others</vt:lpstr>
      <vt:lpstr>OthersBudget</vt:lpstr>
      <vt:lpstr>CE Budget 2022</vt:lpstr>
      <vt:lpstr>Analisi degli scostamenti</vt:lpstr>
      <vt:lpstr>VariableCostsC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Surace</dc:creator>
  <cp:lastModifiedBy>NICOLA ALGERI</cp:lastModifiedBy>
  <dcterms:created xsi:type="dcterms:W3CDTF">2015-06-05T18:19:34Z</dcterms:created>
  <dcterms:modified xsi:type="dcterms:W3CDTF">2025-12-11T21:30:56Z</dcterms:modified>
</cp:coreProperties>
</file>