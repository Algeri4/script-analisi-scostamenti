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kyv\Desktop\Universita\SDG\script-analisi-scostamenti\"/>
    </mc:Choice>
  </mc:AlternateContent>
  <xr:revisionPtr revIDLastSave="0" documentId="13_ncr:1_{002714A5-77CC-4C19-9816-942E652CA539}" xr6:coauthVersionLast="47" xr6:coauthVersionMax="47" xr10:uidLastSave="{00000000-0000-0000-0000-000000000000}"/>
  <bookViews>
    <workbookView xWindow="-90" yWindow="0" windowWidth="9780" windowHeight="10170" firstSheet="4" activeTab="4" xr2:uid="{95440F54-80AC-4A51-8A6B-2203749B58E4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8" l="1"/>
  <c r="C19" i="11"/>
  <c r="C8" i="11"/>
  <c r="D8" i="11" s="1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I6" i="8"/>
  <c r="I5" i="8"/>
  <c r="C20" i="11"/>
  <c r="C18" i="11"/>
  <c r="C16" i="11"/>
  <c r="D16" i="11" s="1"/>
  <c r="C15" i="11"/>
  <c r="D15" i="11" s="1"/>
  <c r="C11" i="11" a="1"/>
  <c r="C11" i="11" s="1"/>
  <c r="D11" i="11" s="1"/>
  <c r="D6" i="11"/>
  <c r="D7" i="11"/>
  <c r="D9" i="11"/>
  <c r="D12" i="11"/>
  <c r="D26" i="11"/>
  <c r="D39" i="11"/>
  <c r="D40" i="11"/>
  <c r="D41" i="11"/>
  <c r="D43" i="11"/>
  <c r="D44" i="11"/>
  <c r="D45" i="11"/>
  <c r="D46" i="11"/>
  <c r="D5" i="11"/>
  <c r="H6" i="8"/>
  <c r="H5" i="8"/>
  <c r="H4" i="8"/>
  <c r="C23" i="8"/>
  <c r="G12" i="8"/>
  <c r="C29" i="8"/>
  <c r="C28" i="8"/>
  <c r="C27" i="8"/>
  <c r="C26" i="8"/>
  <c r="C21" i="8"/>
  <c r="C20" i="8"/>
  <c r="K59" i="7"/>
  <c r="K57" i="7"/>
  <c r="K55" i="7"/>
  <c r="O5" i="1"/>
  <c r="O6" i="1"/>
  <c r="O7" i="1"/>
  <c r="O8" i="1"/>
  <c r="O9" i="1"/>
  <c r="O10" i="1"/>
  <c r="O11" i="1"/>
  <c r="O4" i="1"/>
  <c r="M12" i="3"/>
  <c r="D19" i="11" l="1"/>
  <c r="D18" i="11"/>
  <c r="C43" i="11"/>
  <c r="C39" i="11"/>
  <c r="C45" i="11"/>
  <c r="C44" i="11"/>
  <c r="C40" i="11"/>
  <c r="C41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E63" i="7"/>
  <c r="G63" i="7" s="1"/>
  <c r="E62" i="7"/>
  <c r="E61" i="7"/>
  <c r="E60" i="7"/>
  <c r="E59" i="7"/>
  <c r="E58" i="7"/>
  <c r="E57" i="7"/>
  <c r="E56" i="7"/>
  <c r="E55" i="7"/>
  <c r="E54" i="7"/>
  <c r="E53" i="7"/>
  <c r="E52" i="7"/>
  <c r="E51" i="7"/>
  <c r="E47" i="7"/>
  <c r="E46" i="7"/>
  <c r="E45" i="7"/>
  <c r="E44" i="7"/>
  <c r="E43" i="7"/>
  <c r="E38" i="7"/>
  <c r="E37" i="7"/>
  <c r="E36" i="7"/>
  <c r="E35" i="7"/>
  <c r="E34" i="7"/>
  <c r="E33" i="7"/>
  <c r="E32" i="7"/>
  <c r="E31" i="7"/>
  <c r="E30" i="7"/>
  <c r="E29" i="7"/>
  <c r="E28" i="7"/>
  <c r="E25" i="7"/>
  <c r="E24" i="7"/>
  <c r="E23" i="7"/>
  <c r="E22" i="7"/>
  <c r="E21" i="7"/>
  <c r="E20" i="7"/>
  <c r="E19" i="7"/>
  <c r="E18" i="7"/>
  <c r="E17" i="7"/>
  <c r="E16" i="7"/>
  <c r="E15" i="7"/>
  <c r="E14" i="7"/>
  <c r="G14" i="7" s="1"/>
  <c r="E13" i="7"/>
  <c r="E12" i="7"/>
  <c r="E11" i="7"/>
  <c r="E10" i="7"/>
  <c r="E9" i="7"/>
  <c r="E8" i="7"/>
  <c r="E7" i="7"/>
  <c r="E6" i="7"/>
  <c r="E5" i="7"/>
  <c r="E4" i="7"/>
  <c r="E3" i="7"/>
  <c r="M13" i="3"/>
  <c r="M51" i="1" s="1"/>
  <c r="E50" i="7" s="1"/>
  <c r="C9" i="10"/>
  <c r="C5" i="10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E65" i="7"/>
  <c r="D65" i="7"/>
  <c r="G65" i="7" s="1"/>
  <c r="C65" i="7"/>
  <c r="B65" i="7"/>
  <c r="I64" i="7"/>
  <c r="D64" i="7"/>
  <c r="G64" i="7" s="1"/>
  <c r="C64" i="7"/>
  <c r="B64" i="7"/>
  <c r="D63" i="7"/>
  <c r="C63" i="7"/>
  <c r="B63" i="7"/>
  <c r="D62" i="7"/>
  <c r="C62" i="7"/>
  <c r="B62" i="7"/>
  <c r="D61" i="7"/>
  <c r="C61" i="7"/>
  <c r="B61" i="7"/>
  <c r="D60" i="7"/>
  <c r="C60" i="7"/>
  <c r="B60" i="7"/>
  <c r="D59" i="7"/>
  <c r="C59" i="7"/>
  <c r="B59" i="7"/>
  <c r="D58" i="7"/>
  <c r="C58" i="7"/>
  <c r="B58" i="7"/>
  <c r="D57" i="7"/>
  <c r="C57" i="7"/>
  <c r="B57" i="7"/>
  <c r="D56" i="7"/>
  <c r="C56" i="7"/>
  <c r="B56" i="7"/>
  <c r="D55" i="7"/>
  <c r="C55" i="7"/>
  <c r="B55" i="7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F5" i="8" s="1"/>
  <c r="C32" i="7"/>
  <c r="B32" i="7"/>
  <c r="D31" i="7"/>
  <c r="C31" i="7"/>
  <c r="B31" i="7"/>
  <c r="D30" i="7"/>
  <c r="C30" i="7"/>
  <c r="B30" i="7"/>
  <c r="D29" i="7"/>
  <c r="G29" i="7" s="1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G30" i="7" l="1"/>
  <c r="G46" i="7"/>
  <c r="G24" i="7"/>
  <c r="F6" i="8"/>
  <c r="G6" i="8" s="1"/>
  <c r="C42" i="8" s="1"/>
  <c r="G10" i="7"/>
  <c r="G5" i="7"/>
  <c r="G21" i="7"/>
  <c r="G53" i="7"/>
  <c r="G18" i="7"/>
  <c r="G22" i="7"/>
  <c r="F4" i="7"/>
  <c r="G34" i="7"/>
  <c r="M27" i="1"/>
  <c r="E26" i="7" s="1"/>
  <c r="G26" i="7" s="1"/>
  <c r="M40" i="1"/>
  <c r="E39" i="7" s="1"/>
  <c r="G39" i="7" s="1"/>
  <c r="M43" i="1"/>
  <c r="E42" i="7" s="1"/>
  <c r="M49" i="1"/>
  <c r="E48" i="7" s="1"/>
  <c r="G48" i="7" s="1"/>
  <c r="M28" i="1"/>
  <c r="E27" i="7" s="1"/>
  <c r="G27" i="7" s="1"/>
  <c r="M42" i="1"/>
  <c r="E41" i="7" s="1"/>
  <c r="M50" i="1"/>
  <c r="E49" i="7" s="1"/>
  <c r="G49" i="7" s="1"/>
  <c r="M41" i="1"/>
  <c r="E40" i="7" s="1"/>
  <c r="F9" i="7"/>
  <c r="F7" i="7"/>
  <c r="F3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C7" i="11" s="1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G10" i="8" s="1"/>
  <c r="G14" i="8" l="1"/>
  <c r="C13" i="11"/>
  <c r="D13" i="11" s="1"/>
  <c r="C6" i="11"/>
  <c r="C5" i="11"/>
  <c r="F7" i="8"/>
  <c r="C41" i="8"/>
  <c r="G4" i="8"/>
  <c r="C40" i="8" s="1"/>
  <c r="G7" i="8"/>
  <c r="G13" i="8" s="1"/>
  <c r="G67" i="7"/>
  <c r="C27" i="9"/>
  <c r="C10" i="11" l="1"/>
  <c r="D10" i="11" s="1"/>
  <c r="I4" i="8"/>
  <c r="G9" i="8"/>
  <c r="C14" i="11" s="1"/>
  <c r="C43" i="8"/>
  <c r="C17" i="11" l="1"/>
  <c r="D17" i="11" s="1"/>
  <c r="D14" i="11"/>
  <c r="C44" i="8"/>
  <c r="G15" i="8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G17" i="8" l="1"/>
  <c r="H4" i="1"/>
  <c r="C21" i="3"/>
  <c r="C33" i="3" s="1"/>
  <c r="C38" i="3" s="1"/>
  <c r="C42" i="3" s="1"/>
  <c r="C47" i="3" s="1"/>
  <c r="C49" i="3" s="1"/>
  <c r="D20" i="11" l="1"/>
  <c r="C21" i="11"/>
  <c r="F37" i="3"/>
  <c r="F32" i="3"/>
  <c r="F28" i="3"/>
  <c r="F20" i="3"/>
  <c r="F17" i="3"/>
  <c r="D21" i="11" l="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D33" i="11" l="1"/>
  <c r="C42" i="11"/>
  <c r="D38" i="11"/>
  <c r="H76" i="1"/>
  <c r="C47" i="11" l="1"/>
  <c r="D42" i="11"/>
  <c r="J75" i="1"/>
  <c r="H77" i="1"/>
  <c r="C19" i="10" l="1"/>
  <c r="C48" i="11" s="1"/>
  <c r="C49" i="11" s="1"/>
  <c r="D47" i="11"/>
  <c r="D49" i="11" l="1"/>
  <c r="D48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<sst xmlns="http://schemas.openxmlformats.org/spreadsheetml/2006/main" count="727" uniqueCount="304">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</sst>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1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3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169" fontId="23" fillId="0" borderId="18" xfId="2" applyNumberFormat="1" applyFont="1" applyFill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 refreshError="1"/>
      <sheetData sheetId="1" refreshError="1">
        <row r="4">
          <cell r="J4" t="str">
            <v>MP1</v>
          </cell>
          <cell r="K4" t="str">
            <v>MP</v>
          </cell>
          <cell r="L4">
            <v>48000</v>
          </cell>
        </row>
        <row r="5">
          <cell r="J5" t="str">
            <v>MP2</v>
          </cell>
          <cell r="K5" t="str">
            <v>MP</v>
          </cell>
          <cell r="L5">
            <v>700</v>
          </cell>
        </row>
        <row r="6">
          <cell r="J6" t="str">
            <v>MP3</v>
          </cell>
          <cell r="K6" t="str">
            <v>MP</v>
          </cell>
          <cell r="L6">
            <v>1100</v>
          </cell>
        </row>
        <row r="7">
          <cell r="J7" t="str">
            <v>MP4</v>
          </cell>
          <cell r="K7" t="str">
            <v>MP</v>
          </cell>
          <cell r="L7">
            <v>125</v>
          </cell>
        </row>
        <row r="8">
          <cell r="J8" t="str">
            <v>MP5</v>
          </cell>
          <cell r="K8" t="str">
            <v>MP</v>
          </cell>
          <cell r="L8">
            <v>1925</v>
          </cell>
        </row>
        <row r="9">
          <cell r="J9" t="str">
            <v>MP6</v>
          </cell>
          <cell r="K9" t="str">
            <v>MP</v>
          </cell>
          <cell r="L9">
            <v>125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D1" workbookViewId="0">
      <selection activeCell="F14" sqref="F14"/>
    </sheetView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81640625" style="1" bestFit="1" customWidth="1"/>
    <col min="5" max="5" width="45.453125" style="1" bestFit="1" customWidth="1"/>
    <col min="6" max="6" width="12.81640625" style="1" bestFit="1" customWidth="1"/>
    <col min="7" max="7" width="13.81640625" style="1" customWidth="1"/>
    <col min="8" max="16384" width="8.81640625" style="1"/>
  </cols>
  <sheetData>
    <row r="1" spans="2:14" ht="16.25" customHeight="1" thickBot="1" x14ac:dyDescent="0.4"/>
    <row r="2" spans="2:14" ht="19" thickBot="1" x14ac:dyDescent="0.4">
      <c r="B2" s="111" t="s">
        <v>139</v>
      </c>
      <c r="C2" s="112"/>
      <c r="E2" s="111" t="s">
        <v>139</v>
      </c>
      <c r="F2" s="112"/>
    </row>
    <row r="3" spans="2:14" x14ac:dyDescent="0.35">
      <c r="B3" s="109" t="s">
        <v>169</v>
      </c>
      <c r="C3" s="42" t="s">
        <v>65</v>
      </c>
      <c r="E3" s="113" t="s">
        <v>170</v>
      </c>
      <c r="F3" s="80" t="s">
        <v>65</v>
      </c>
    </row>
    <row r="4" spans="2:14" x14ac:dyDescent="0.35">
      <c r="B4" s="110"/>
      <c r="C4" s="43" t="s">
        <v>66</v>
      </c>
      <c r="E4" s="110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workbookViewId="0"/>
  </sheetViews>
  <sheetFormatPr defaultColWidth="8.81640625" defaultRowHeight="14.5" x14ac:dyDescent="0.35"/>
  <cols>
    <col min="1" max="1" width="2.81640625" style="1" customWidth="1"/>
    <col min="2" max="2" width="14.1796875" style="1" customWidth="1"/>
    <col min="3" max="3" width="8.54296875" style="1" bestFit="1" customWidth="1"/>
    <col min="4" max="4" width="12.453125" style="1" bestFit="1" customWidth="1"/>
    <col min="5" max="5" width="13.54296875" style="1" bestFit="1" customWidth="1"/>
    <col min="6" max="6" width="16.81640625" style="1" bestFit="1" customWidth="1"/>
    <col min="7" max="7" width="14.54296875" style="1" bestFit="1" customWidth="1"/>
    <col min="8" max="8" width="14.81640625" style="1" bestFit="1" customWidth="1"/>
    <col min="9" max="9" width="11.81640625" style="1" bestFit="1" customWidth="1"/>
    <col min="10" max="10" width="14.81640625" style="1" bestFit="1" customWidth="1"/>
    <col min="11" max="11" width="9.81640625" style="1" bestFit="1" customWidth="1"/>
    <col min="12" max="12" width="12.453125" style="1" bestFit="1" customWidth="1"/>
    <col min="13" max="14" width="13.54296875" style="1" bestFit="1" customWidth="1"/>
    <col min="15" max="16" width="16.81640625" style="1" bestFit="1" customWidth="1"/>
    <col min="17" max="17" width="18.81640625" style="1" bestFit="1" customWidth="1"/>
    <col min="18" max="18" width="8.81640625" style="1"/>
    <col min="19" max="19" width="8.8164062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14" t="s">
        <v>162</v>
      </c>
      <c r="C2" s="115"/>
      <c r="D2" s="115"/>
      <c r="E2" s="115"/>
      <c r="F2" s="116"/>
      <c r="H2" s="59"/>
      <c r="J2" s="114" t="s">
        <v>64</v>
      </c>
      <c r="K2" s="115"/>
      <c r="L2" s="115"/>
      <c r="M2" s="115"/>
      <c r="N2" s="115"/>
      <c r="O2" s="115"/>
      <c r="P2" s="115"/>
      <c r="Q2" s="116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</row>
    <row r="28" spans="2:17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</row>
    <row r="29" spans="2:17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</row>
    <row r="41" spans="2:17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</row>
    <row r="42" spans="2:17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</row>
    <row r="43" spans="2:17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</row>
    <row r="44" spans="2:17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</row>
    <row r="50" spans="2:17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</row>
    <row r="51" spans="2:17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</row>
    <row r="52" spans="2:17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8" x14ac:dyDescent="0.35">
      <c r="B81" s="1" t="s">
        <v>152</v>
      </c>
    </row>
    <row r="82" spans="2:8" x14ac:dyDescent="0.35">
      <c r="B82" s="1" t="s">
        <v>153</v>
      </c>
      <c r="H82" s="2"/>
    </row>
    <row r="83" spans="2:8" x14ac:dyDescent="0.35">
      <c r="B83" s="1" t="s">
        <v>155</v>
      </c>
      <c r="H83" s="2"/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E49" workbookViewId="0"/>
  </sheetViews>
  <sheetFormatPr defaultRowHeight="14.5" x14ac:dyDescent="0.35"/>
  <cols>
    <col min="2" max="2" width="18.81640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[2]Ricavi!J4</f>
        <v>MP1</v>
      </c>
      <c r="C3" s="96" t="str">
        <f>[2]Ricavi!K4</f>
        <v>MP</v>
      </c>
      <c r="D3" s="96">
        <f>[2]Ricavi!L4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[2]Ricavi!J5</f>
        <v>MP2</v>
      </c>
      <c r="C4" s="96" t="str">
        <f>[2]Ricavi!K5</f>
        <v>MP</v>
      </c>
      <c r="D4" s="96">
        <f>[2]Ricavi!L5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[2]Ricavi!J6</f>
        <v>MP3</v>
      </c>
      <c r="C5" s="96" t="str">
        <f>[2]Ricavi!K6</f>
        <v>MP</v>
      </c>
      <c r="D5" s="96">
        <f>[2]Ricavi!L6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[2]Ricavi!J7</f>
        <v>MP4</v>
      </c>
      <c r="C6" s="96" t="str">
        <f>[2]Ricavi!K7</f>
        <v>MP</v>
      </c>
      <c r="D6" s="96">
        <f>[2]Ricavi!L7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[2]Ricavi!J8</f>
        <v>MP5</v>
      </c>
      <c r="C7" s="96" t="str">
        <f>[2]Ricavi!K8</f>
        <v>MP</v>
      </c>
      <c r="D7" s="96">
        <f>[2]Ricavi!L8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[2]Ricavi!J9</f>
        <v>MP6</v>
      </c>
      <c r="C8" s="96" t="str">
        <f>[2]Ricavi!K9</f>
        <v>MP</v>
      </c>
      <c r="D8" s="96">
        <f>[2]Ricavi!L9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[2]Ricavi!J10</f>
        <v>MP7</v>
      </c>
      <c r="C9" s="96" t="str">
        <f>[2]Ricavi!K10</f>
        <v>MP</v>
      </c>
      <c r="D9" s="96">
        <f>[2]Ricavi!L10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[2]Ricavi!J11</f>
        <v>MP8</v>
      </c>
      <c r="C10" s="96" t="str">
        <f>[2]Ricavi!K11</f>
        <v>MP</v>
      </c>
      <c r="D10" s="96">
        <f>[2]Ricavi!L11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[2]Ricavi!J12</f>
        <v>MP9</v>
      </c>
      <c r="C11" s="96" t="str">
        <f>[2]Ricavi!K12</f>
        <v>MP</v>
      </c>
      <c r="D11" s="96">
        <f>[2]Ricavi!L12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[2]Ricavi!J13</f>
        <v>MP10</v>
      </c>
      <c r="C12" s="96" t="str">
        <f>[2]Ricavi!K13</f>
        <v>MP</v>
      </c>
      <c r="D12" s="96">
        <f>[2]Ricavi!L13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[2]Ricavi!J14</f>
        <v>MP11</v>
      </c>
      <c r="C13" s="96" t="str">
        <f>[2]Ricavi!K14</f>
        <v>MP</v>
      </c>
      <c r="D13" s="96">
        <f>[2]Ricavi!L14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[2]Ricavi!J15</f>
        <v>MP12</v>
      </c>
      <c r="C14" s="96" t="str">
        <f>[2]Ricavi!K15</f>
        <v>MP</v>
      </c>
      <c r="D14" s="96">
        <f>[2]Ricavi!L15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[2]Ricavi!J16</f>
        <v>MP13</v>
      </c>
      <c r="C15" s="96" t="str">
        <f>[2]Ricavi!K16</f>
        <v>MP</v>
      </c>
      <c r="D15" s="96">
        <f>[2]Ricavi!L16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[2]Ricavi!J17</f>
        <v>MP14</v>
      </c>
      <c r="C16" s="96" t="str">
        <f>[2]Ricavi!K17</f>
        <v>MP</v>
      </c>
      <c r="D16" s="96">
        <f>[2]Ricavi!L17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35">
      <c r="A17" s="96"/>
      <c r="B17" s="96" t="str">
        <f>[2]Ricavi!J18</f>
        <v>PCL1</v>
      </c>
      <c r="C17" s="96" t="str">
        <f>[2]Ricavi!K18</f>
        <v>PCL</v>
      </c>
      <c r="D17" s="96">
        <f>[2]Ricavi!L18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[2]Ricavi!J19</f>
        <v>PCL2</v>
      </c>
      <c r="C18" s="96" t="str">
        <f>[2]Ricavi!K19</f>
        <v>PCL</v>
      </c>
      <c r="D18" s="96">
        <f>[2]Ricavi!L19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[2]Ricavi!J20</f>
        <v>PCL3</v>
      </c>
      <c r="C19" s="96" t="str">
        <f>[2]Ricavi!K20</f>
        <v>PCL</v>
      </c>
      <c r="D19" s="96">
        <f>[2]Ricavi!L20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[2]Ricavi!J21</f>
        <v>PCL4</v>
      </c>
      <c r="C20" s="96" t="str">
        <f>[2]Ricavi!K21</f>
        <v>PCL</v>
      </c>
      <c r="D20" s="96">
        <f>[2]Ricavi!L21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[2]Ricavi!J22</f>
        <v>PCL5</v>
      </c>
      <c r="C21" s="96" t="str">
        <f>[2]Ricavi!K22</f>
        <v>PCL</v>
      </c>
      <c r="D21" s="96">
        <f>[2]Ricavi!L22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[2]Ricavi!J23</f>
        <v>PF P1</v>
      </c>
      <c r="C22" s="96" t="str">
        <f>[2]Ricavi!K23</f>
        <v>PF</v>
      </c>
      <c r="D22" s="96">
        <f>[2]Ricavi!L23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[2]Ricavi!J24</f>
        <v>PF P2</v>
      </c>
      <c r="C23" s="96" t="str">
        <f>[2]Ricavi!K24</f>
        <v>PF</v>
      </c>
      <c r="D23" s="96">
        <f>[2]Ricavi!L24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[2]Ricavi!J25</f>
        <v>PF P3</v>
      </c>
      <c r="C24" s="96" t="str">
        <f>[2]Ricavi!K25</f>
        <v>PF</v>
      </c>
      <c r="D24" s="96">
        <f>[2]Ricavi!L25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[2]Ricavi!J26</f>
        <v>PF P4</v>
      </c>
      <c r="C25" s="96" t="str">
        <f>[2]Ricavi!K26</f>
        <v>PF</v>
      </c>
      <c r="D25" s="96">
        <f>[2]Ricavi!L26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[2]Ricavi!J27</f>
        <v>PF P5</v>
      </c>
      <c r="C26" s="96" t="str">
        <f>[2]Ricavi!K27</f>
        <v>PF</v>
      </c>
      <c r="D26" s="96">
        <f>[2]Ricavi!L27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[2]Ricavi!J28</f>
        <v>PF P6</v>
      </c>
      <c r="C27" s="96" t="str">
        <f>[2]Ricavi!K28</f>
        <v>PF</v>
      </c>
      <c r="D27" s="96">
        <f>[2]Ricavi!L28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[2]Ricavi!J29</f>
        <v>PF P7</v>
      </c>
      <c r="C28" s="96" t="str">
        <f>[2]Ricavi!K29</f>
        <v>PF</v>
      </c>
      <c r="D28" s="96">
        <f>[2]Ricavi!L29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[2]Ricavi!J30</f>
        <v>PF V1</v>
      </c>
      <c r="C29" s="96" t="str">
        <f>[2]Ricavi!K30</f>
        <v>PF</v>
      </c>
      <c r="D29" s="96">
        <f>[2]Ricavi!L30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[2]Ricavi!J31</f>
        <v>PF V2</v>
      </c>
      <c r="C30" s="96" t="str">
        <f>[2]Ricavi!K31</f>
        <v>PF</v>
      </c>
      <c r="D30" s="96">
        <f>[2]Ricavi!L31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[2]Ricavi!J32</f>
        <v>PF V3</v>
      </c>
      <c r="C31" s="96" t="str">
        <f>[2]Ricavi!K32</f>
        <v>PF</v>
      </c>
      <c r="D31" s="96">
        <f>[2]Ricavi!L32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[2]Ricavi!J33</f>
        <v>PF V4</v>
      </c>
      <c r="C32" s="96" t="str">
        <f>[2]Ricavi!K33</f>
        <v>PF</v>
      </c>
      <c r="D32" s="96">
        <f>[2]Ricavi!L33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[2]Ricavi!J34</f>
        <v>PF V5</v>
      </c>
      <c r="C33" s="96" t="str">
        <f>[2]Ricavi!K34</f>
        <v>PF</v>
      </c>
      <c r="D33" s="96">
        <f>[2]Ricavi!L34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[2]Ricavi!J35</f>
        <v>PF V6</v>
      </c>
      <c r="C34" s="96" t="str">
        <f>[2]Ricavi!K35</f>
        <v>PF</v>
      </c>
      <c r="D34" s="96">
        <f>[2]Ricavi!L35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[2]Ricavi!J36</f>
        <v>PF V7</v>
      </c>
      <c r="C35" s="96" t="str">
        <f>[2]Ricavi!K36</f>
        <v>PF</v>
      </c>
      <c r="D35" s="96">
        <f>[2]Ricavi!L36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[2]Ricavi!J37</f>
        <v>PF V8</v>
      </c>
      <c r="C36" s="96" t="str">
        <f>[2]Ricavi!K37</f>
        <v>PF</v>
      </c>
      <c r="D36" s="96">
        <f>[2]Ricavi!L37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[2]Ricavi!J38</f>
        <v>PF V9</v>
      </c>
      <c r="C37" s="96" t="str">
        <f>[2]Ricavi!K38</f>
        <v>PF</v>
      </c>
      <c r="D37" s="96">
        <f>[2]Ricavi!L38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[2]Ricavi!J39</f>
        <v>PF V10</v>
      </c>
      <c r="C38" s="96" t="str">
        <f>[2]Ricavi!K39</f>
        <v>PF</v>
      </c>
      <c r="D38" s="96">
        <f>[2]Ricavi!L39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[2]Ricavi!J40</f>
        <v>PF V11</v>
      </c>
      <c r="C39" s="96" t="str">
        <f>[2]Ricavi!K40</f>
        <v>PF</v>
      </c>
      <c r="D39" s="96">
        <f>[2]Ricavi!L40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[2]Ricavi!J41</f>
        <v>PF V12</v>
      </c>
      <c r="C40" s="96" t="str">
        <f>[2]Ricavi!K41</f>
        <v>PF</v>
      </c>
      <c r="D40" s="96">
        <f>[2]Ricavi!L41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[2]Ricavi!J42</f>
        <v>PF V13</v>
      </c>
      <c r="C41" s="96" t="str">
        <f>[2]Ricavi!K42</f>
        <v>PF</v>
      </c>
      <c r="D41" s="96">
        <f>[2]Ricavi!L42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[2]Ricavi!J43</f>
        <v>PF V14</v>
      </c>
      <c r="C42" s="96" t="str">
        <f>[2]Ricavi!K43</f>
        <v>PF</v>
      </c>
      <c r="D42" s="96">
        <f>[2]Ricavi!L43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[2]Ricavi!J44</f>
        <v>PF V15</v>
      </c>
      <c r="C43" s="96" t="str">
        <f>[2]Ricavi!K44</f>
        <v>PF</v>
      </c>
      <c r="D43" s="96">
        <f>[2]Ricavi!L44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[2]Ricavi!J45</f>
        <v>PF V16</v>
      </c>
      <c r="C44" s="96" t="str">
        <f>[2]Ricavi!K45</f>
        <v>PF</v>
      </c>
      <c r="D44" s="96">
        <f>[2]Ricavi!L45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[2]Ricavi!J46</f>
        <v>PF A1</v>
      </c>
      <c r="C45" s="96" t="str">
        <f>[2]Ricavi!K46</f>
        <v>PF</v>
      </c>
      <c r="D45" s="96">
        <f>[2]Ricavi!L46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[2]Ricavi!J47</f>
        <v>PF A2</v>
      </c>
      <c r="C46" s="96" t="str">
        <f>[2]Ricavi!K47</f>
        <v>PF</v>
      </c>
      <c r="D46" s="96">
        <f>[2]Ricavi!L47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[2]Ricavi!J48</f>
        <v>PF A3</v>
      </c>
      <c r="C47" s="96" t="str">
        <f>[2]Ricavi!K48</f>
        <v>PF</v>
      </c>
      <c r="D47" s="96">
        <f>[2]Ricavi!L48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[2]Ricavi!J49</f>
        <v>PF A4</v>
      </c>
      <c r="C48" s="96" t="str">
        <f>[2]Ricavi!K49</f>
        <v>PF</v>
      </c>
      <c r="D48" s="96">
        <f>[2]Ricavi!L49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[2]Ricavi!J50</f>
        <v>PF A5</v>
      </c>
      <c r="C49" s="96" t="str">
        <f>[2]Ricavi!K50</f>
        <v>PF</v>
      </c>
      <c r="D49" s="96">
        <f>[2]Ricavi!L50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[2]Ricavi!J51</f>
        <v>PF A6</v>
      </c>
      <c r="C50" s="96" t="str">
        <f>[2]Ricavi!K51</f>
        <v>PF</v>
      </c>
      <c r="D50" s="96">
        <f>[2]Ricavi!L51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[2]Ricavi!J52</f>
        <v>PF A7</v>
      </c>
      <c r="C51" s="96" t="str">
        <f>[2]Ricavi!K52</f>
        <v>PF</v>
      </c>
      <c r="D51" s="96">
        <f>[2]Ricavi!L52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[2]Ricavi!J53</f>
        <v>PF A8</v>
      </c>
      <c r="C52" s="96" t="str">
        <f>[2]Ricavi!K53</f>
        <v>PF</v>
      </c>
      <c r="D52" s="96">
        <f>[2]Ricavi!L53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[2]Ricavi!J54</f>
        <v>PF A9</v>
      </c>
      <c r="C53" s="96" t="str">
        <f>[2]Ricavi!K54</f>
        <v>PF</v>
      </c>
      <c r="D53" s="96">
        <f>[2]Ricavi!L54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[2]Ricavi!J55</f>
        <v>PF A10</v>
      </c>
      <c r="C54" s="96" t="str">
        <f>[2]Ricavi!K55</f>
        <v>PF</v>
      </c>
      <c r="D54" s="96">
        <f>[2]Ricavi!L55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5">
      <c r="A55" s="96"/>
      <c r="B55" s="96" t="str">
        <f>[2]Ricavi!J56</f>
        <v>PF A11</v>
      </c>
      <c r="C55" s="96" t="str">
        <f>[2]Ricavi!K56</f>
        <v>PF</v>
      </c>
      <c r="D55" s="96">
        <f>[2]Ricavi!L56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5">
      <c r="A56" s="96"/>
      <c r="B56" s="96" t="str">
        <f>[2]Ricavi!J57</f>
        <v>PF A12</v>
      </c>
      <c r="C56" s="96" t="str">
        <f>[2]Ricavi!K57</f>
        <v>PF</v>
      </c>
      <c r="D56" s="96">
        <f>[2]Ricavi!L57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5">
      <c r="A57" s="96"/>
      <c r="B57" s="96" t="str">
        <f>[2]Ricavi!J58</f>
        <v>PF A13</v>
      </c>
      <c r="C57" s="96" t="str">
        <f>[2]Ricavi!K58</f>
        <v>PF</v>
      </c>
      <c r="D57" s="96">
        <f>[2]Ricavi!L58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5">
      <c r="A58" s="96"/>
      <c r="B58" s="96" t="str">
        <f>[2]Ricavi!J59</f>
        <v>PF A14</v>
      </c>
      <c r="C58" s="96" t="str">
        <f>[2]Ricavi!K59</f>
        <v>PF</v>
      </c>
      <c r="D58" s="96">
        <f>[2]Ricavi!L59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5">
      <c r="A59" s="96"/>
      <c r="B59" s="96" t="str">
        <f>[2]Ricavi!J60</f>
        <v>PF A15</v>
      </c>
      <c r="C59" s="96" t="str">
        <f>[2]Ricavi!K60</f>
        <v>PF</v>
      </c>
      <c r="D59" s="96">
        <f>[2]Ricavi!L60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5">
      <c r="A60" s="96"/>
      <c r="B60" s="96" t="str">
        <f>[2]Ricavi!J61</f>
        <v>PF A16</v>
      </c>
      <c r="C60" s="96" t="str">
        <f>[2]Ricavi!K61</f>
        <v>PF</v>
      </c>
      <c r="D60" s="96">
        <f>[2]Ricavi!L61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[2]Ricavi!J62</f>
        <v>PF A17</v>
      </c>
      <c r="C61" s="96" t="str">
        <f>[2]Ricavi!K62</f>
        <v>PF</v>
      </c>
      <c r="D61" s="96">
        <f>[2]Ricavi!L62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[2]Ricavi!J63</f>
        <v>PF A18</v>
      </c>
      <c r="C62" s="96" t="str">
        <f>[2]Ricavi!K63</f>
        <v>PF</v>
      </c>
      <c r="D62" s="96">
        <f>[2]Ricavi!L63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[2]Ricavi!J64</f>
        <v>PF A19</v>
      </c>
      <c r="C63" s="96" t="str">
        <f>[2]Ricavi!K64</f>
        <v>PF</v>
      </c>
      <c r="D63" s="96">
        <f>[2]Ricavi!L64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[2]Ricavi!J65</f>
        <v>Spese trasporto</v>
      </c>
      <c r="C64" s="96" t="str">
        <f>[2]Ricavi!K65</f>
        <v>Others</v>
      </c>
      <c r="D64" s="96">
        <f>[2]Ricavi!L65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[2]Ricavi!J66</f>
        <v>Premio Year22</v>
      </c>
      <c r="C65" s="96" t="str">
        <f>[2]Ricavi!K66</f>
        <v>Others</v>
      </c>
      <c r="D65" s="96">
        <f>[2]Ricavi!L66</f>
        <v>12</v>
      </c>
      <c r="E65" s="96">
        <f>[2]Ricavi!M66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topLeftCell="B1" zoomScale="60" zoomScaleNormal="60" workbookViewId="0">
      <selection activeCell="F27" sqref="F27"/>
    </sheetView>
  </sheetViews>
  <sheetFormatPr defaultColWidth="9.1796875" defaultRowHeight="14.5" x14ac:dyDescent="0.35"/>
  <cols>
    <col min="1" max="1" width="2.81640625" style="3" customWidth="1"/>
    <col min="2" max="2" width="62.179687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1796875" style="3"/>
  </cols>
  <sheetData>
    <row r="1" spans="2:16" ht="15.65" customHeight="1" thickBot="1" x14ac:dyDescent="0.4"/>
    <row r="2" spans="2:16" ht="15" thickBot="1" x14ac:dyDescent="0.4">
      <c r="B2" s="117" t="s">
        <v>134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abSelected="1" zoomScale="60" zoomScaleNormal="60" workbookViewId="0">
      <selection activeCell="E13" sqref="E13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21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123.179687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5" x14ac:dyDescent="0.35"/>
  <cols>
    <col min="2" max="2" width="41.81640625" bestFit="1" customWidth="1"/>
    <col min="3" max="3" width="11.81640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5" x14ac:dyDescent="0.35"/>
  <cols>
    <col min="2" max="2" width="41.81640625" bestFit="1" customWidth="1"/>
    <col min="3" max="3" width="12.81640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-'CE 21-22'!C39+(3000000*0.05*7/12)</f>
        <v>227633.03999999998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560711.65659381566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workbookViewId="0"/>
  </sheetViews>
  <sheetFormatPr defaultRowHeight="14.5" x14ac:dyDescent="0.35"/>
  <cols>
    <col min="2" max="2" width="39.1796875" bestFit="1" customWidth="1"/>
    <col min="3" max="3" width="12.81640625" bestFit="1" customWidth="1"/>
    <col min="4" max="4" width="11.08984375" bestFit="1" customWidth="1"/>
    <col min="5" max="5" width="49.54296875" bestFit="1" customWidth="1"/>
    <col min="6" max="6" width="12.81640625" bestFit="1" customWidth="1"/>
    <col min="7" max="7" width="59.81640625" bestFit="1" customWidth="1"/>
    <col min="8" max="8" width="12.81640625" bestFit="1" customWidth="1"/>
  </cols>
  <sheetData>
    <row r="1" spans="2:16" ht="15" thickBot="1" x14ac:dyDescent="0.4"/>
    <row r="2" spans="2:16" ht="18.5" x14ac:dyDescent="0.35">
      <c r="B2" s="111" t="s">
        <v>139</v>
      </c>
      <c r="C2" s="112"/>
      <c r="D2" t="s">
        <v>303</v>
      </c>
      <c r="E2" s="111" t="s">
        <v>139</v>
      </c>
      <c r="F2" s="112"/>
    </row>
    <row r="3" spans="2:16" ht="14.5" customHeight="1" x14ac:dyDescent="0.35">
      <c r="B3" s="109" t="s">
        <v>290</v>
      </c>
      <c r="C3" s="42" t="s">
        <v>65</v>
      </c>
      <c r="E3" s="109" t="s">
        <v>169</v>
      </c>
      <c r="F3" s="42" t="s">
        <v>65</v>
      </c>
      <c r="P3" t="s">
        <v>292</v>
      </c>
    </row>
    <row r="4" spans="2:16" ht="14.5" customHeight="1" x14ac:dyDescent="0.35">
      <c r="B4" s="110"/>
      <c r="C4" s="43" t="s">
        <v>66</v>
      </c>
      <c r="E4" s="110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120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122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-227633.03999999998</v>
      </c>
      <c r="D39" s="108">
        <f t="shared" si="0"/>
        <v>-87500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-227633.03999999998</v>
      </c>
      <c r="D41" s="108">
        <f t="shared" si="0"/>
        <v>-91043.62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1869038.855312719</v>
      </c>
      <c r="D42" s="108">
        <f t="shared" si="0"/>
        <v>646125.23749730457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1869038.855312719</v>
      </c>
      <c r="D47" s="108">
        <f t="shared" si="0"/>
        <v>776629.20749730454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-OthersBudget!C19</f>
        <v>-560711.65659381566</v>
      </c>
      <c r="D48" s="108">
        <f t="shared" si="0"/>
        <v>-232988.76224920026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C47+C48</f>
        <v>1308327.1987189034</v>
      </c>
      <c r="D49" s="108">
        <f t="shared" si="0"/>
        <v>543640.44524810428</v>
      </c>
      <c r="E49" s="49" t="s">
        <v>109</v>
      </c>
      <c r="F49" s="50">
        <v>764686.75347079907</v>
      </c>
    </row>
    <row r="50" spans="2:6" x14ac:dyDescent="0.35">
      <c r="C50" s="102"/>
    </row>
    <row r="54" spans="2:6" x14ac:dyDescent="0.35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2025-12-10T10:29:10Z</dcterms:modified>
</cp:coreProperties>
</file>