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kyv\Desktop\Universita\SDG\script-analisi-scostamenti\"/>
    </mc:Choice>
  </mc:AlternateContent>
  <xr:revisionPtr revIDLastSave="0" documentId="13_ncr:1_{272EDE6F-C249-4B9E-A265-74B6F35A0F85}" xr6:coauthVersionLast="47" xr6:coauthVersionMax="47" xr10:uidLastSave="{00000000-0000-0000-0000-000000000000}"/>
  <bookViews>
    <workbookView xWindow="-110" yWindow="-110" windowWidth="19420" windowHeight="10300" firstSheet="6" activeTab="9" xr2:uid="{95440F54-80AC-4A51-8A6B-2203749B58E4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7" l="1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C11" i="11" a="1"/>
  <c r="C11" i="11" s="1"/>
  <c r="D11" i="11" s="1"/>
  <c r="D9" i="11"/>
  <c r="D12" i="11"/>
  <c r="D26" i="11"/>
  <c r="D39" i="11"/>
  <c r="D40" i="11"/>
  <c r="D41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C43" i="11" l="1"/>
  <c r="C39" i="11"/>
  <c r="C45" i="11"/>
  <c r="C44" i="11"/>
  <c r="C40" i="11"/>
  <c r="C41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9" i="10"/>
  <c r="C5" i="10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C8" i="11" s="1"/>
  <c r="D8" i="11" s="1"/>
  <c r="F5" i="8"/>
  <c r="G29" i="7"/>
  <c r="G30" i="7" l="1"/>
  <c r="G46" i="7"/>
  <c r="G24" i="7"/>
  <c r="F6" i="8"/>
  <c r="G6" i="8" s="1"/>
  <c r="G10" i="7"/>
  <c r="G5" i="7"/>
  <c r="G21" i="7"/>
  <c r="G53" i="7"/>
  <c r="G18" i="7"/>
  <c r="G22" i="7"/>
  <c r="K55" i="7" s="1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7" i="11" l="1"/>
  <c r="D7" i="11" s="1"/>
  <c r="K59" i="7"/>
  <c r="K57" i="7"/>
  <c r="C42" i="8"/>
  <c r="I6" i="8"/>
  <c r="H6" i="8"/>
  <c r="H5" i="8"/>
  <c r="G12" i="8"/>
  <c r="C16" i="11" s="1"/>
  <c r="D16" i="11" s="1"/>
  <c r="I5" i="8"/>
  <c r="G14" i="8"/>
  <c r="C19" i="11" s="1"/>
  <c r="D19" i="11" s="1"/>
  <c r="C13" i="11"/>
  <c r="D13" i="11" s="1"/>
  <c r="C6" i="11"/>
  <c r="D6" i="11" s="1"/>
  <c r="C5" i="11"/>
  <c r="D5" i="11" s="1"/>
  <c r="F7" i="8"/>
  <c r="C41" i="8"/>
  <c r="G4" i="8"/>
  <c r="G7" i="8"/>
  <c r="G13" i="8" s="1"/>
  <c r="C18" i="11" s="1"/>
  <c r="G67" i="7"/>
  <c r="C27" i="9"/>
  <c r="C20" i="11" l="1"/>
  <c r="D18" i="11"/>
  <c r="C40" i="8"/>
  <c r="H4" i="8"/>
  <c r="C10" i="11"/>
  <c r="D10" i="11" s="1"/>
  <c r="I4" i="8"/>
  <c r="G10" i="8" s="1"/>
  <c r="G9" i="8"/>
  <c r="C43" i="8"/>
  <c r="C44" i="8" l="1"/>
  <c r="G15" i="8" s="1"/>
  <c r="C14" i="11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C17" i="11" l="1"/>
  <c r="D17" i="11" s="1"/>
  <c r="D14" i="11"/>
  <c r="G17" i="8"/>
  <c r="H4" i="1"/>
  <c r="C21" i="3"/>
  <c r="C33" i="3" s="1"/>
  <c r="C38" i="3" s="1"/>
  <c r="C42" i="3" s="1"/>
  <c r="C47" i="3" s="1"/>
  <c r="C49" i="3" s="1"/>
  <c r="D20" i="11" l="1"/>
  <c r="C21" i="11"/>
  <c r="F37" i="3"/>
  <c r="F32" i="3"/>
  <c r="F28" i="3"/>
  <c r="F20" i="3"/>
  <c r="F17" i="3"/>
  <c r="D21" i="11" l="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D33" i="11" l="1"/>
  <c r="C42" i="11"/>
  <c r="D38" i="11"/>
  <c r="H76" i="1"/>
  <c r="C47" i="11" l="1"/>
  <c r="D42" i="11"/>
  <c r="J75" i="1"/>
  <c r="H77" i="1"/>
  <c r="C19" i="10" l="1"/>
  <c r="C48" i="11" s="1"/>
  <c r="C49" i="11" s="1"/>
  <c r="D47" i="11"/>
  <c r="D49" i="11" l="1"/>
  <c r="D48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<sst xmlns="http://schemas.openxmlformats.org/spreadsheetml/2006/main" count="727" uniqueCount="304">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</sst>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23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A9" zoomScale="60" zoomScaleNormal="60" workbookViewId="0">
      <selection activeCell="E6" sqref="E6"/>
    </sheetView>
  </sheetViews>
  <sheetFormatPr defaultColWidth="8.81640625" defaultRowHeight="14.5" x14ac:dyDescent="0.35"/>
  <cols>
    <col min="1" max="1" width="2.81640625" style="1" customWidth="1"/>
    <col min="2" max="2" width="45.453125" style="1" bestFit="1" customWidth="1"/>
    <col min="3" max="3" width="12.81640625" style="1" bestFit="1" customWidth="1"/>
    <col min="4" max="4" width="13.81640625" style="1" bestFit="1" customWidth="1"/>
    <col min="5" max="5" width="45.453125" style="1" bestFit="1" customWidth="1"/>
    <col min="6" max="6" width="12.81640625" style="1" bestFit="1" customWidth="1"/>
    <col min="7" max="7" width="13.81640625" style="1" customWidth="1"/>
    <col min="8" max="16384" width="8.81640625" style="1"/>
  </cols>
  <sheetData>
    <row r="1" spans="2:14" ht="16.25" customHeight="1" thickBot="1" x14ac:dyDescent="0.4"/>
    <row r="2" spans="2:14" ht="19" thickBot="1" x14ac:dyDescent="0.4">
      <c r="B2" s="114" t="s">
        <v>139</v>
      </c>
      <c r="C2" s="115"/>
      <c r="E2" s="114" t="s">
        <v>139</v>
      </c>
      <c r="F2" s="115"/>
    </row>
    <row r="3" spans="2:14" x14ac:dyDescent="0.35">
      <c r="B3" s="112" t="s">
        <v>169</v>
      </c>
      <c r="C3" s="42" t="s">
        <v>65</v>
      </c>
      <c r="E3" s="116" t="s">
        <v>170</v>
      </c>
      <c r="F3" s="80" t="s">
        <v>65</v>
      </c>
    </row>
    <row r="4" spans="2:14" x14ac:dyDescent="0.35">
      <c r="B4" s="113"/>
      <c r="C4" s="43" t="s">
        <v>66</v>
      </c>
      <c r="E4" s="113"/>
      <c r="F4" s="43" t="s">
        <v>66</v>
      </c>
      <c r="J4" s="1" t="s">
        <v>191</v>
      </c>
    </row>
    <row r="5" spans="2:14" x14ac:dyDescent="0.35">
      <c r="B5" s="44" t="s">
        <v>67</v>
      </c>
      <c r="C5" s="85">
        <v>61294659.022799999</v>
      </c>
      <c r="E5" s="44"/>
      <c r="F5" s="45"/>
    </row>
    <row r="6" spans="2:14" x14ac:dyDescent="0.35">
      <c r="B6" s="46" t="s">
        <v>137</v>
      </c>
      <c r="C6" s="84">
        <v>528226.62545000005</v>
      </c>
      <c r="E6" s="46"/>
      <c r="F6" s="45"/>
    </row>
    <row r="7" spans="2:14" x14ac:dyDescent="0.35">
      <c r="B7" s="44" t="s">
        <v>138</v>
      </c>
      <c r="C7" s="84">
        <v>1877590.3519999997</v>
      </c>
      <c r="E7" s="44"/>
      <c r="F7" s="45"/>
    </row>
    <row r="8" spans="2:14" x14ac:dyDescent="0.35">
      <c r="B8" s="44" t="s">
        <v>68</v>
      </c>
      <c r="C8" s="89">
        <v>120000</v>
      </c>
      <c r="E8" s="44"/>
      <c r="F8" s="45"/>
    </row>
    <row r="9" spans="2:14" x14ac:dyDescent="0.35">
      <c r="B9" s="44" t="s">
        <v>69</v>
      </c>
      <c r="C9" s="89">
        <v>500000</v>
      </c>
      <c r="E9" s="44"/>
      <c r="F9" s="45"/>
    </row>
    <row r="10" spans="2:14" x14ac:dyDescent="0.3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5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5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4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4">
      <c r="B21" s="49" t="s">
        <v>81</v>
      </c>
      <c r="C21" s="50">
        <f>+C10+C13+C17+C20</f>
        <v>11052003.037815414</v>
      </c>
      <c r="E21" s="49"/>
      <c r="F21" s="50"/>
    </row>
    <row r="22" spans="2:6" x14ac:dyDescent="0.3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4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4">
      <c r="B33" s="51" t="s">
        <v>93</v>
      </c>
      <c r="C33" s="52">
        <f>+C21+C28+C32</f>
        <v>2384503.0378154144</v>
      </c>
      <c r="E33" s="51"/>
      <c r="F33" s="52"/>
    </row>
    <row r="34" spans="2:7" x14ac:dyDescent="0.3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4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4">
      <c r="B38" s="49" t="s">
        <v>98</v>
      </c>
      <c r="C38" s="50">
        <f>+C33+C37</f>
        <v>1359503.0378154144</v>
      </c>
      <c r="E38" s="28"/>
    </row>
    <row r="39" spans="2:7" x14ac:dyDescent="0.35">
      <c r="B39" s="44" t="s">
        <v>99</v>
      </c>
      <c r="C39" s="45">
        <v>-140133.03999999998</v>
      </c>
      <c r="E39" s="28"/>
    </row>
    <row r="40" spans="2:7" x14ac:dyDescent="0.35">
      <c r="B40" s="44" t="s">
        <v>100</v>
      </c>
      <c r="C40" s="45">
        <v>3543.6200000000003</v>
      </c>
      <c r="E40" s="28"/>
    </row>
    <row r="41" spans="2:7" ht="15" thickBot="1" x14ac:dyDescent="0.4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4">
      <c r="B42" s="49" t="s">
        <v>102</v>
      </c>
      <c r="C42" s="50">
        <f>+C38+C41</f>
        <v>1222913.6178154144</v>
      </c>
      <c r="E42" s="28"/>
    </row>
    <row r="43" spans="2:7" x14ac:dyDescent="0.35">
      <c r="B43" s="44" t="s">
        <v>103</v>
      </c>
      <c r="C43" s="45">
        <v>-130503.97</v>
      </c>
      <c r="E43" s="28"/>
    </row>
    <row r="44" spans="2:7" x14ac:dyDescent="0.35">
      <c r="B44" s="44" t="s">
        <v>104</v>
      </c>
      <c r="C44" s="45">
        <v>0</v>
      </c>
      <c r="E44" s="28"/>
    </row>
    <row r="45" spans="2:7" x14ac:dyDescent="0.35">
      <c r="B45" s="44" t="s">
        <v>105</v>
      </c>
      <c r="C45" s="45">
        <v>0</v>
      </c>
      <c r="E45" s="28"/>
    </row>
    <row r="46" spans="2:7" ht="15" thickBot="1" x14ac:dyDescent="0.4">
      <c r="B46" s="47" t="s">
        <v>106</v>
      </c>
      <c r="C46" s="48">
        <f>SUM(C43:C45)</f>
        <v>-130503.97</v>
      </c>
      <c r="E46" s="28"/>
    </row>
    <row r="47" spans="2:7" ht="15" thickBot="1" x14ac:dyDescent="0.4">
      <c r="B47" s="49" t="s">
        <v>107</v>
      </c>
      <c r="C47" s="50">
        <f>+C46+C42</f>
        <v>1092409.6478154145</v>
      </c>
      <c r="E47" s="28"/>
    </row>
    <row r="48" spans="2:7" ht="15" thickBot="1" x14ac:dyDescent="0.4">
      <c r="B48" s="44" t="s">
        <v>108</v>
      </c>
      <c r="C48" s="45">
        <v>-327722.8943446154</v>
      </c>
      <c r="E48" s="28"/>
    </row>
    <row r="49" spans="2:6" ht="15" thickBot="1" x14ac:dyDescent="0.4">
      <c r="B49" s="49" t="s">
        <v>109</v>
      </c>
      <c r="C49" s="50">
        <f>+C48+C47</f>
        <v>764686.75347079907</v>
      </c>
      <c r="E49" s="28"/>
    </row>
    <row r="50" spans="2:6" x14ac:dyDescent="0.35">
      <c r="B50" s="28"/>
      <c r="E50" s="28"/>
    </row>
    <row r="51" spans="2:6" x14ac:dyDescent="0.35">
      <c r="B51" s="28"/>
      <c r="E51" s="28"/>
    </row>
    <row r="52" spans="2:6" x14ac:dyDescent="0.35">
      <c r="B52" s="28"/>
      <c r="E52" s="28"/>
    </row>
    <row r="53" spans="2:6" x14ac:dyDescent="0.35">
      <c r="B53" s="28"/>
      <c r="E53" s="28"/>
    </row>
    <row r="54" spans="2:6" x14ac:dyDescent="0.35">
      <c r="B54" s="28"/>
      <c r="E54" s="28"/>
    </row>
    <row r="55" spans="2:6" x14ac:dyDescent="0.35">
      <c r="B55" s="28"/>
      <c r="E55" s="28"/>
    </row>
    <row r="56" spans="2:6" x14ac:dyDescent="0.35">
      <c r="B56" s="28"/>
      <c r="E56" s="28"/>
    </row>
    <row r="57" spans="2:6" x14ac:dyDescent="0.35">
      <c r="B57" s="28"/>
      <c r="C57" s="29"/>
      <c r="E57" s="28"/>
      <c r="F57" s="29"/>
    </row>
    <row r="58" spans="2:6" x14ac:dyDescent="0.35">
      <c r="B58" s="28"/>
      <c r="E58" s="28"/>
    </row>
    <row r="59" spans="2:6" x14ac:dyDescent="0.35">
      <c r="B59" s="28"/>
      <c r="E59" s="28"/>
    </row>
    <row r="60" spans="2:6" x14ac:dyDescent="0.35">
      <c r="B60" s="28"/>
      <c r="C60" s="29"/>
      <c r="E60" s="28"/>
      <c r="F60" s="29"/>
    </row>
    <row r="61" spans="2:6" x14ac:dyDescent="0.35">
      <c r="B61" s="28"/>
      <c r="E61" s="28"/>
    </row>
    <row r="62" spans="2:6" x14ac:dyDescent="0.3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zoomScale="60" zoomScaleNormal="60" workbookViewId="0">
      <selection activeCell="O4" sqref="O4"/>
    </sheetView>
  </sheetViews>
  <sheetFormatPr defaultColWidth="8.81640625" defaultRowHeight="14.5" x14ac:dyDescent="0.35"/>
  <cols>
    <col min="1" max="1" width="2.81640625" style="1" customWidth="1"/>
    <col min="2" max="2" width="14.1796875" style="1" customWidth="1"/>
    <col min="3" max="3" width="8.54296875" style="1" bestFit="1" customWidth="1"/>
    <col min="4" max="4" width="12.453125" style="1" bestFit="1" customWidth="1"/>
    <col min="5" max="5" width="13.54296875" style="1" bestFit="1" customWidth="1"/>
    <col min="6" max="6" width="16.81640625" style="1" bestFit="1" customWidth="1"/>
    <col min="7" max="7" width="14.54296875" style="1" bestFit="1" customWidth="1"/>
    <col min="8" max="8" width="14.81640625" style="1" bestFit="1" customWidth="1"/>
    <col min="9" max="9" width="11.81640625" style="1" bestFit="1" customWidth="1"/>
    <col min="10" max="10" width="14.81640625" style="1" bestFit="1" customWidth="1"/>
    <col min="11" max="11" width="9.81640625" style="1" bestFit="1" customWidth="1"/>
    <col min="12" max="12" width="12.453125" style="1" bestFit="1" customWidth="1"/>
    <col min="13" max="14" width="13.54296875" style="1" bestFit="1" customWidth="1"/>
    <col min="15" max="16" width="16.81640625" style="1" bestFit="1" customWidth="1"/>
    <col min="17" max="17" width="18.81640625" style="1" bestFit="1" customWidth="1"/>
    <col min="18" max="18" width="8.81640625" style="1"/>
    <col min="19" max="19" width="8.81640625" style="1" customWidth="1"/>
    <col min="20" max="16384" width="8.81640625" style="1"/>
  </cols>
  <sheetData>
    <row r="1" spans="1:19" ht="15.65" customHeight="1" thickBot="1" x14ac:dyDescent="0.4"/>
    <row r="2" spans="1:19" ht="15" thickBot="1" x14ac:dyDescent="0.4">
      <c r="B2" s="117" t="s">
        <v>162</v>
      </c>
      <c r="C2" s="118"/>
      <c r="D2" s="118"/>
      <c r="E2" s="118"/>
      <c r="F2" s="119"/>
      <c r="H2" s="59"/>
      <c r="J2" s="117" t="s">
        <v>64</v>
      </c>
      <c r="K2" s="118"/>
      <c r="L2" s="118"/>
      <c r="M2" s="118"/>
      <c r="N2" s="118"/>
      <c r="O2" s="118"/>
      <c r="P2" s="118"/>
      <c r="Q2" s="119"/>
      <c r="S2" s="88"/>
    </row>
    <row r="3" spans="1:19" ht="15" thickBot="1" x14ac:dyDescent="0.4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4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</row>
    <row r="5" spans="1:19" ht="15" thickBot="1" x14ac:dyDescent="0.4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</row>
    <row r="6" spans="1:19" ht="15" thickBot="1" x14ac:dyDescent="0.4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</row>
    <row r="7" spans="1:19" ht="15" thickBot="1" x14ac:dyDescent="0.4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</row>
    <row r="8" spans="1:19" ht="15" thickBot="1" x14ac:dyDescent="0.4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</row>
    <row r="9" spans="1:19" ht="15" thickBot="1" x14ac:dyDescent="0.4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</row>
    <row r="10" spans="1:19" ht="15" thickBot="1" x14ac:dyDescent="0.4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</row>
    <row r="11" spans="1:19" x14ac:dyDescent="0.3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</row>
    <row r="12" spans="1:19" x14ac:dyDescent="0.3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4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4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</row>
    <row r="28" spans="2:17" x14ac:dyDescent="0.3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</row>
    <row r="29" spans="2:17" x14ac:dyDescent="0.3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</row>
    <row r="41" spans="2:17" x14ac:dyDescent="0.3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</row>
    <row r="42" spans="2:17" x14ac:dyDescent="0.3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</row>
    <row r="43" spans="2:17" x14ac:dyDescent="0.3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</row>
    <row r="44" spans="2:17" x14ac:dyDescent="0.3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</row>
    <row r="50" spans="2:17" x14ac:dyDescent="0.3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</row>
    <row r="51" spans="2:17" x14ac:dyDescent="0.3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</row>
    <row r="52" spans="2:17" x14ac:dyDescent="0.3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4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4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5">
      <c r="D80" s="1" t="s">
        <v>192</v>
      </c>
      <c r="E80" s="1" t="s">
        <v>193</v>
      </c>
      <c r="G80" s="2"/>
      <c r="H80" s="2"/>
    </row>
    <row r="81" spans="2:8" x14ac:dyDescent="0.35">
      <c r="B81" s="1" t="s">
        <v>152</v>
      </c>
    </row>
    <row r="82" spans="2:8" x14ac:dyDescent="0.35">
      <c r="B82" s="1" t="s">
        <v>153</v>
      </c>
      <c r="H82" s="2"/>
    </row>
    <row r="83" spans="2:8" x14ac:dyDescent="0.35">
      <c r="B83" s="1" t="s">
        <v>155</v>
      </c>
      <c r="H83" s="2"/>
    </row>
    <row r="1048576" spans="16384:16384" x14ac:dyDescent="0.3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zoomScale="60" zoomScaleNormal="60" workbookViewId="0">
      <selection activeCell="I5" sqref="I5"/>
    </sheetView>
  </sheetViews>
  <sheetFormatPr defaultRowHeight="14.5" x14ac:dyDescent="0.35"/>
  <cols>
    <col min="2" max="2" width="18.81640625" bestFit="1" customWidth="1"/>
    <col min="3" max="3" width="10" customWidth="1"/>
    <col min="4" max="5" width="19.54296875" bestFit="1" customWidth="1"/>
    <col min="6" max="6" width="19.54296875" customWidth="1"/>
    <col min="7" max="7" width="16.453125" bestFit="1" customWidth="1"/>
    <col min="8" max="8" width="8.453125" bestFit="1" customWidth="1"/>
    <col min="9" max="9" width="38.54296875" bestFit="1" customWidth="1"/>
    <col min="11" max="11" width="33" customWidth="1"/>
    <col min="12" max="12" width="12.542968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5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5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5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5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5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5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5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5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5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5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5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5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5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5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/>
    </row>
    <row r="17" spans="1:12" x14ac:dyDescent="0.35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5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5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5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5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5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5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5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5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5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5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5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5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5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5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5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5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5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5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5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5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5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5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5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5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5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5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5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5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5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5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5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5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5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5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5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5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5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5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5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5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5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5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5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5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5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5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5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5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5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topLeftCell="B1" zoomScale="60" zoomScaleNormal="60" workbookViewId="0">
      <selection activeCell="F27" sqref="F27"/>
    </sheetView>
  </sheetViews>
  <sheetFormatPr defaultColWidth="9.1796875" defaultRowHeight="14.5" x14ac:dyDescent="0.35"/>
  <cols>
    <col min="1" max="1" width="2.81640625" style="3" customWidth="1"/>
    <col min="2" max="2" width="62.1796875" style="8" customWidth="1"/>
    <col min="3" max="3" width="23.54296875" style="3" bestFit="1" customWidth="1"/>
    <col min="4" max="14" width="10.54296875" style="3" customWidth="1"/>
    <col min="15" max="15" width="12.453125" style="3" bestFit="1" customWidth="1"/>
    <col min="16" max="16" width="11.54296875" style="3" customWidth="1"/>
    <col min="17" max="16384" width="9.1796875" style="3"/>
  </cols>
  <sheetData>
    <row r="1" spans="2:16" ht="15.65" customHeight="1" thickBot="1" x14ac:dyDescent="0.4"/>
    <row r="2" spans="2:16" ht="15" thickBot="1" x14ac:dyDescent="0.4">
      <c r="B2" s="120" t="s">
        <v>134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2"/>
    </row>
    <row r="3" spans="2:16" x14ac:dyDescent="0.3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6.5" x14ac:dyDescent="0.3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5">
      <c r="B14" s="21"/>
      <c r="O14" s="23"/>
    </row>
    <row r="15" spans="2:16" x14ac:dyDescent="0.35">
      <c r="B15" s="21" t="s">
        <v>165</v>
      </c>
      <c r="O15" s="23"/>
    </row>
    <row r="16" spans="2:16" x14ac:dyDescent="0.35">
      <c r="B16" s="14" t="s">
        <v>183</v>
      </c>
      <c r="O16" s="23"/>
    </row>
    <row r="17" spans="2:16" x14ac:dyDescent="0.35">
      <c r="B17" s="21" t="s">
        <v>174</v>
      </c>
      <c r="O17" s="23"/>
      <c r="P17" s="3" t="s">
        <v>185</v>
      </c>
    </row>
    <row r="18" spans="2:16" x14ac:dyDescent="0.35">
      <c r="B18" s="21" t="s">
        <v>166</v>
      </c>
      <c r="O18" s="23"/>
    </row>
    <row r="19" spans="2:16" x14ac:dyDescent="0.35">
      <c r="B19" s="21" t="s">
        <v>182</v>
      </c>
      <c r="O19" s="23"/>
    </row>
    <row r="20" spans="2:16" x14ac:dyDescent="0.35">
      <c r="B20" s="21" t="s">
        <v>181</v>
      </c>
      <c r="O20" s="23"/>
    </row>
    <row r="21" spans="2:16" x14ac:dyDescent="0.35">
      <c r="B21" s="21"/>
      <c r="O21" s="23"/>
    </row>
    <row r="22" spans="2:16" x14ac:dyDescent="0.35">
      <c r="B22" s="12" t="s">
        <v>75</v>
      </c>
      <c r="O22" s="23"/>
    </row>
    <row r="23" spans="2:16" x14ac:dyDescent="0.35">
      <c r="B23" s="21" t="s">
        <v>171</v>
      </c>
      <c r="O23" s="23"/>
    </row>
    <row r="24" spans="2:16" x14ac:dyDescent="0.35">
      <c r="B24" s="21"/>
      <c r="O24" s="23"/>
    </row>
    <row r="25" spans="2:16" x14ac:dyDescent="0.35">
      <c r="B25" s="12" t="s">
        <v>76</v>
      </c>
      <c r="O25" s="23"/>
    </row>
    <row r="26" spans="2:16" x14ac:dyDescent="0.35">
      <c r="B26" s="21" t="s">
        <v>175</v>
      </c>
      <c r="O26" s="23"/>
    </row>
    <row r="27" spans="2:16" x14ac:dyDescent="0.35">
      <c r="B27" s="21"/>
      <c r="O27" s="23"/>
    </row>
    <row r="28" spans="2:16" x14ac:dyDescent="0.35">
      <c r="B28" s="12" t="s">
        <v>122</v>
      </c>
      <c r="O28" s="23"/>
    </row>
    <row r="29" spans="2:16" x14ac:dyDescent="0.35">
      <c r="B29" s="21" t="s">
        <v>161</v>
      </c>
      <c r="O29" s="23"/>
    </row>
    <row r="30" spans="2:16" x14ac:dyDescent="0.35">
      <c r="B30" s="21" t="s">
        <v>173</v>
      </c>
      <c r="O30" s="23"/>
    </row>
    <row r="31" spans="2:16" x14ac:dyDescent="0.35">
      <c r="B31" s="21" t="s">
        <v>123</v>
      </c>
      <c r="O31" s="23"/>
    </row>
    <row r="32" spans="2:16" x14ac:dyDescent="0.35">
      <c r="B32" s="21"/>
      <c r="O32" s="23"/>
    </row>
    <row r="33" spans="2:15" x14ac:dyDescent="0.35">
      <c r="B33" s="12" t="s">
        <v>121</v>
      </c>
      <c r="O33" s="23"/>
    </row>
    <row r="34" spans="2:15" ht="15" thickBot="1" x14ac:dyDescent="0.4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zoomScale="60" zoomScaleNormal="60" workbookViewId="0">
      <selection activeCell="E13" sqref="E13"/>
    </sheetView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123.1796875" style="1" bestFit="1" customWidth="1"/>
    <col min="3" max="16384" width="8.81640625" style="1"/>
  </cols>
  <sheetData>
    <row r="1" spans="2:2" ht="15" thickBot="1" x14ac:dyDescent="0.4"/>
    <row r="2" spans="2:2" ht="15" thickBot="1" x14ac:dyDescent="0.4">
      <c r="B2" s="41" t="s">
        <v>135</v>
      </c>
    </row>
    <row r="3" spans="2:2" x14ac:dyDescent="0.35">
      <c r="B3" s="76" t="s">
        <v>82</v>
      </c>
    </row>
    <row r="4" spans="2:2" x14ac:dyDescent="0.35">
      <c r="B4" s="33" t="s">
        <v>168</v>
      </c>
    </row>
    <row r="5" spans="2:2" x14ac:dyDescent="0.35">
      <c r="B5" s="33"/>
    </row>
    <row r="6" spans="2:2" x14ac:dyDescent="0.35">
      <c r="B6" s="76" t="s">
        <v>83</v>
      </c>
    </row>
    <row r="7" spans="2:2" x14ac:dyDescent="0.35">
      <c r="B7" s="33" t="s">
        <v>126</v>
      </c>
    </row>
    <row r="8" spans="2:2" x14ac:dyDescent="0.35">
      <c r="B8" s="33"/>
    </row>
    <row r="9" spans="2:2" x14ac:dyDescent="0.35">
      <c r="B9" s="76" t="s">
        <v>84</v>
      </c>
    </row>
    <row r="10" spans="2:2" x14ac:dyDescent="0.35">
      <c r="B10" s="32" t="s">
        <v>128</v>
      </c>
    </row>
    <row r="11" spans="2:2" x14ac:dyDescent="0.35">
      <c r="B11" s="32"/>
    </row>
    <row r="12" spans="2:2" x14ac:dyDescent="0.35">
      <c r="B12" s="76" t="s">
        <v>85</v>
      </c>
    </row>
    <row r="13" spans="2:2" x14ac:dyDescent="0.35">
      <c r="B13" s="32" t="s">
        <v>128</v>
      </c>
    </row>
    <row r="14" spans="2:2" x14ac:dyDescent="0.35">
      <c r="B14" s="33"/>
    </row>
    <row r="15" spans="2:2" x14ac:dyDescent="0.35">
      <c r="B15" s="76" t="s">
        <v>86</v>
      </c>
    </row>
    <row r="16" spans="2:2" x14ac:dyDescent="0.35">
      <c r="B16" s="32" t="s">
        <v>128</v>
      </c>
    </row>
    <row r="17" spans="2:2" x14ac:dyDescent="0.35">
      <c r="B17" s="33"/>
    </row>
    <row r="18" spans="2:2" x14ac:dyDescent="0.35">
      <c r="B18" s="76" t="s">
        <v>87</v>
      </c>
    </row>
    <row r="19" spans="2:2" x14ac:dyDescent="0.35">
      <c r="B19" s="32" t="s">
        <v>128</v>
      </c>
    </row>
    <row r="20" spans="2:2" x14ac:dyDescent="0.35">
      <c r="B20" s="77"/>
    </row>
    <row r="21" spans="2:2" x14ac:dyDescent="0.35">
      <c r="B21" s="76" t="s">
        <v>89</v>
      </c>
    </row>
    <row r="22" spans="2:2" x14ac:dyDescent="0.35">
      <c r="B22" s="32" t="s">
        <v>128</v>
      </c>
    </row>
    <row r="23" spans="2:2" x14ac:dyDescent="0.35">
      <c r="B23" s="33"/>
    </row>
    <row r="24" spans="2:2" x14ac:dyDescent="0.35">
      <c r="B24" s="76" t="s">
        <v>90</v>
      </c>
    </row>
    <row r="25" spans="2:2" x14ac:dyDescent="0.35">
      <c r="B25" s="32" t="s">
        <v>128</v>
      </c>
    </row>
    <row r="26" spans="2:2" x14ac:dyDescent="0.35">
      <c r="B26" s="33"/>
    </row>
    <row r="27" spans="2:2" x14ac:dyDescent="0.35">
      <c r="B27" s="76" t="s">
        <v>91</v>
      </c>
    </row>
    <row r="28" spans="2:2" ht="15" thickBot="1" x14ac:dyDescent="0.4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5" x14ac:dyDescent="0.35"/>
  <cols>
    <col min="2" max="2" width="41.81640625" bestFit="1" customWidth="1"/>
    <col min="3" max="3" width="11.81640625" bestFit="1" customWidth="1"/>
    <col min="4" max="4" width="54.54296875" bestFit="1" customWidth="1"/>
    <col min="6" max="6" width="9.1796875" customWidth="1"/>
  </cols>
  <sheetData>
    <row r="2" spans="2:4" x14ac:dyDescent="0.35">
      <c r="D2" t="s">
        <v>198</v>
      </c>
    </row>
    <row r="3" spans="2:4" x14ac:dyDescent="0.35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5">
      <c r="C4" s="96"/>
    </row>
    <row r="5" spans="2:4" x14ac:dyDescent="0.35">
      <c r="B5" t="s">
        <v>238</v>
      </c>
      <c r="C5" s="96">
        <f>-'CE 21-22'!F23-150000</f>
        <v>1050000</v>
      </c>
    </row>
    <row r="6" spans="2:4" x14ac:dyDescent="0.35">
      <c r="C6" s="96"/>
    </row>
    <row r="7" spans="2:4" x14ac:dyDescent="0.35">
      <c r="B7" t="s">
        <v>239</v>
      </c>
      <c r="C7" s="96">
        <f>-'CE 21-22'!F24*1.025</f>
        <v>307500</v>
      </c>
    </row>
    <row r="8" spans="2:4" x14ac:dyDescent="0.35">
      <c r="C8" s="96"/>
    </row>
    <row r="9" spans="2:4" x14ac:dyDescent="0.35">
      <c r="B9" t="s">
        <v>240</v>
      </c>
      <c r="C9" s="96">
        <f>-'CE 21-22'!F25*1.025</f>
        <v>151700</v>
      </c>
    </row>
    <row r="10" spans="2:4" x14ac:dyDescent="0.35">
      <c r="C10" s="96"/>
    </row>
    <row r="11" spans="2:4" x14ac:dyDescent="0.35">
      <c r="B11" t="s">
        <v>241</v>
      </c>
      <c r="C11" s="96">
        <f>-'CE 21-22'!F26*1.025</f>
        <v>309550</v>
      </c>
    </row>
    <row r="12" spans="2:4" x14ac:dyDescent="0.35">
      <c r="C12" s="96"/>
    </row>
    <row r="13" spans="2:4" x14ac:dyDescent="0.35">
      <c r="B13" t="s">
        <v>242</v>
      </c>
      <c r="C13" s="96">
        <f>-'CE 21-22'!F27*1.025</f>
        <v>212174.99999999997</v>
      </c>
    </row>
    <row r="14" spans="2:4" x14ac:dyDescent="0.35">
      <c r="C14" s="96"/>
    </row>
    <row r="15" spans="2:4" x14ac:dyDescent="0.35">
      <c r="B15" s="93" t="s">
        <v>246</v>
      </c>
      <c r="C15" s="97">
        <f>SUM(C13+C11+C9+C7+C5+C3)</f>
        <v>7625710.9100000001</v>
      </c>
    </row>
    <row r="16" spans="2:4" x14ac:dyDescent="0.35">
      <c r="C16" s="96"/>
    </row>
    <row r="17" spans="2:3" x14ac:dyDescent="0.35">
      <c r="C17" s="96"/>
    </row>
    <row r="18" spans="2:3" x14ac:dyDescent="0.35">
      <c r="B18" t="s">
        <v>243</v>
      </c>
      <c r="C18" s="96">
        <f>-'CE 21-22'!F29*1.025</f>
        <v>563750</v>
      </c>
    </row>
    <row r="19" spans="2:3" x14ac:dyDescent="0.35">
      <c r="C19" s="96"/>
    </row>
    <row r="20" spans="2:3" x14ac:dyDescent="0.35">
      <c r="B20" s="94" t="s">
        <v>244</v>
      </c>
      <c r="C20" s="96">
        <f>-'CE 21-22'!F30*1.025</f>
        <v>307500</v>
      </c>
    </row>
    <row r="21" spans="2:3" x14ac:dyDescent="0.35">
      <c r="C21" s="96"/>
    </row>
    <row r="22" spans="2:3" x14ac:dyDescent="0.35">
      <c r="B22" t="s">
        <v>245</v>
      </c>
      <c r="C22" s="96">
        <f>-'CE 21-22'!F31*1.025</f>
        <v>102499.99999999999</v>
      </c>
    </row>
    <row r="23" spans="2:3" x14ac:dyDescent="0.35">
      <c r="C23" s="96"/>
    </row>
    <row r="24" spans="2:3" x14ac:dyDescent="0.35">
      <c r="B24" s="93" t="s">
        <v>247</v>
      </c>
      <c r="C24" s="97">
        <f>SUM(C18+C20+C22)</f>
        <v>973750</v>
      </c>
    </row>
    <row r="25" spans="2:3" x14ac:dyDescent="0.35">
      <c r="C25" s="96"/>
    </row>
    <row r="26" spans="2:3" x14ac:dyDescent="0.35">
      <c r="C26" s="96"/>
    </row>
    <row r="27" spans="2:3" x14ac:dyDescent="0.35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70.453125" style="1" bestFit="1" customWidth="1"/>
    <col min="3" max="16384" width="8.81640625" style="1"/>
  </cols>
  <sheetData>
    <row r="1" spans="2:9" ht="15" thickBot="1" x14ac:dyDescent="0.4"/>
    <row r="2" spans="2:9" ht="15" thickBot="1" x14ac:dyDescent="0.4">
      <c r="B2" s="41" t="s">
        <v>136</v>
      </c>
    </row>
    <row r="3" spans="2:9" x14ac:dyDescent="0.35">
      <c r="B3" s="31" t="s">
        <v>94</v>
      </c>
    </row>
    <row r="4" spans="2:9" x14ac:dyDescent="0.35">
      <c r="B4" s="95" t="s">
        <v>176</v>
      </c>
      <c r="C4" s="1" t="s">
        <v>186</v>
      </c>
    </row>
    <row r="5" spans="2:9" x14ac:dyDescent="0.35">
      <c r="B5" s="32"/>
      <c r="C5" s="1" t="s">
        <v>187</v>
      </c>
    </row>
    <row r="6" spans="2:9" x14ac:dyDescent="0.35">
      <c r="B6" s="31" t="s">
        <v>95</v>
      </c>
      <c r="C6" s="1" t="s">
        <v>188</v>
      </c>
    </row>
    <row r="7" spans="2:9" x14ac:dyDescent="0.35">
      <c r="B7" s="32" t="s">
        <v>127</v>
      </c>
    </row>
    <row r="8" spans="2:9" x14ac:dyDescent="0.35">
      <c r="B8" s="32"/>
    </row>
    <row r="9" spans="2:9" x14ac:dyDescent="0.35">
      <c r="B9" s="31" t="s">
        <v>96</v>
      </c>
    </row>
    <row r="10" spans="2:9" x14ac:dyDescent="0.35">
      <c r="B10" s="33" t="s">
        <v>130</v>
      </c>
    </row>
    <row r="11" spans="2:9" x14ac:dyDescent="0.35">
      <c r="B11" s="33"/>
    </row>
    <row r="12" spans="2:9" x14ac:dyDescent="0.35">
      <c r="B12" s="31" t="s">
        <v>99</v>
      </c>
    </row>
    <row r="13" spans="2:9" x14ac:dyDescent="0.35">
      <c r="B13" s="32" t="s">
        <v>160</v>
      </c>
      <c r="C13" s="1" t="s">
        <v>189</v>
      </c>
      <c r="I13" s="1" t="s">
        <v>190</v>
      </c>
    </row>
    <row r="14" spans="2:9" x14ac:dyDescent="0.35">
      <c r="B14" s="32"/>
    </row>
    <row r="15" spans="2:9" x14ac:dyDescent="0.35">
      <c r="B15" s="31" t="s">
        <v>100</v>
      </c>
    </row>
    <row r="16" spans="2:9" x14ac:dyDescent="0.35">
      <c r="B16" s="32" t="s">
        <v>131</v>
      </c>
    </row>
    <row r="17" spans="2:2" x14ac:dyDescent="0.35">
      <c r="B17" s="32"/>
    </row>
    <row r="18" spans="2:2" x14ac:dyDescent="0.35">
      <c r="B18" s="31" t="s">
        <v>103</v>
      </c>
    </row>
    <row r="19" spans="2:2" x14ac:dyDescent="0.35">
      <c r="B19" s="32" t="s">
        <v>132</v>
      </c>
    </row>
    <row r="20" spans="2:2" x14ac:dyDescent="0.35">
      <c r="B20" s="32"/>
    </row>
    <row r="21" spans="2:2" x14ac:dyDescent="0.35">
      <c r="B21" s="31" t="s">
        <v>104</v>
      </c>
    </row>
    <row r="22" spans="2:2" x14ac:dyDescent="0.35">
      <c r="B22" s="32" t="s">
        <v>133</v>
      </c>
    </row>
    <row r="23" spans="2:2" x14ac:dyDescent="0.35">
      <c r="B23" s="32"/>
    </row>
    <row r="24" spans="2:2" x14ac:dyDescent="0.35">
      <c r="B24" s="31" t="s">
        <v>105</v>
      </c>
    </row>
    <row r="25" spans="2:2" x14ac:dyDescent="0.35">
      <c r="B25" s="33" t="s">
        <v>129</v>
      </c>
    </row>
    <row r="26" spans="2:2" x14ac:dyDescent="0.35">
      <c r="B26" s="33"/>
    </row>
    <row r="27" spans="2:2" x14ac:dyDescent="0.35">
      <c r="B27" s="31" t="s">
        <v>108</v>
      </c>
    </row>
    <row r="28" spans="2:2" ht="15" thickBot="1" x14ac:dyDescent="0.4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/>
  </sheetViews>
  <sheetFormatPr defaultRowHeight="14.5" x14ac:dyDescent="0.35"/>
  <cols>
    <col min="2" max="2" width="41.81640625" bestFit="1" customWidth="1"/>
    <col min="3" max="3" width="12.81640625" bestFit="1" customWidth="1"/>
    <col min="4" max="4" width="75.453125" bestFit="1" customWidth="1"/>
    <col min="5" max="5" width="34" customWidth="1"/>
  </cols>
  <sheetData>
    <row r="1" spans="1:4" x14ac:dyDescent="0.35">
      <c r="A1" s="96"/>
      <c r="B1" s="96"/>
      <c r="C1" s="96"/>
      <c r="D1" s="96"/>
    </row>
    <row r="2" spans="1:4" x14ac:dyDescent="0.35">
      <c r="A2" s="96"/>
      <c r="B2" s="96"/>
      <c r="C2" s="96"/>
      <c r="D2" s="96" t="s">
        <v>253</v>
      </c>
    </row>
    <row r="3" spans="1:4" x14ac:dyDescent="0.35">
      <c r="A3" s="96"/>
      <c r="B3" s="96" t="s">
        <v>254</v>
      </c>
      <c r="C3" s="96">
        <f>-'CE 21-22'!F34</f>
        <v>200000</v>
      </c>
      <c r="D3" s="96"/>
    </row>
    <row r="4" spans="1:4" x14ac:dyDescent="0.35">
      <c r="A4" s="96"/>
      <c r="B4" s="96"/>
      <c r="C4" s="96"/>
      <c r="D4" s="96"/>
    </row>
    <row r="5" spans="1:4" x14ac:dyDescent="0.35">
      <c r="A5" s="96"/>
      <c r="B5" s="96" t="s">
        <v>255</v>
      </c>
      <c r="C5" s="96">
        <f>-'CE 21-22'!F35 +C23*C24</f>
        <v>796875</v>
      </c>
      <c r="D5" s="96"/>
    </row>
    <row r="6" spans="1:4" x14ac:dyDescent="0.35">
      <c r="A6" s="96"/>
      <c r="B6" s="96"/>
      <c r="C6" s="96"/>
      <c r="D6" s="96"/>
    </row>
    <row r="7" spans="1:4" x14ac:dyDescent="0.35">
      <c r="A7" s="96"/>
      <c r="B7" s="96" t="s">
        <v>256</v>
      </c>
      <c r="C7" s="96">
        <v>0</v>
      </c>
      <c r="D7" s="96"/>
    </row>
    <row r="8" spans="1:4" x14ac:dyDescent="0.35">
      <c r="A8" s="96"/>
      <c r="B8" s="96"/>
      <c r="C8" s="96"/>
      <c r="D8" s="96"/>
    </row>
    <row r="9" spans="1:4" x14ac:dyDescent="0.35">
      <c r="A9" s="96"/>
      <c r="B9" s="96" t="s">
        <v>257</v>
      </c>
      <c r="C9" s="96">
        <f>-'CE 21-22'!C39+(3000000*0.05*7/12)</f>
        <v>227633.03999999998</v>
      </c>
      <c r="D9" s="96"/>
    </row>
    <row r="10" spans="1:4" x14ac:dyDescent="0.35">
      <c r="A10" s="96"/>
      <c r="B10" s="96"/>
      <c r="C10" s="96"/>
      <c r="D10" s="96"/>
    </row>
    <row r="11" spans="1:4" x14ac:dyDescent="0.35">
      <c r="A11" s="96"/>
      <c r="B11" s="96" t="s">
        <v>258</v>
      </c>
      <c r="C11" s="96">
        <v>0</v>
      </c>
      <c r="D11" s="96"/>
    </row>
    <row r="12" spans="1:4" x14ac:dyDescent="0.35">
      <c r="A12" s="96"/>
      <c r="B12" s="96"/>
      <c r="C12" s="96"/>
      <c r="D12" s="96"/>
    </row>
    <row r="13" spans="1:4" x14ac:dyDescent="0.35">
      <c r="A13" s="96"/>
      <c r="B13" s="96" t="s">
        <v>259</v>
      </c>
      <c r="C13" s="96">
        <v>0</v>
      </c>
      <c r="D13" s="96"/>
    </row>
    <row r="14" spans="1:4" x14ac:dyDescent="0.35">
      <c r="A14" s="96"/>
      <c r="B14" s="96"/>
      <c r="C14" s="96"/>
      <c r="D14" s="96"/>
    </row>
    <row r="15" spans="1:4" x14ac:dyDescent="0.35">
      <c r="A15" s="96"/>
      <c r="B15" s="96" t="s">
        <v>260</v>
      </c>
      <c r="C15" s="96">
        <v>0</v>
      </c>
      <c r="D15" s="96"/>
    </row>
    <row r="16" spans="1:4" x14ac:dyDescent="0.35">
      <c r="A16" s="96"/>
      <c r="B16" s="96"/>
      <c r="C16" s="96"/>
      <c r="D16" s="96"/>
    </row>
    <row r="17" spans="1:4" x14ac:dyDescent="0.35">
      <c r="A17" s="96"/>
      <c r="B17" s="96" t="s">
        <v>261</v>
      </c>
      <c r="C17" s="96">
        <v>0</v>
      </c>
      <c r="D17" s="96"/>
    </row>
    <row r="18" spans="1:4" x14ac:dyDescent="0.35">
      <c r="A18" s="96"/>
      <c r="B18" s="96"/>
      <c r="C18" s="96"/>
      <c r="D18" s="96"/>
    </row>
    <row r="19" spans="1:4" x14ac:dyDescent="0.35">
      <c r="A19" s="96"/>
      <c r="B19" s="96" t="s">
        <v>262</v>
      </c>
      <c r="C19" s="96">
        <f>'CE Budget 2022'!C47*0.3</f>
        <v>560711.65659381566</v>
      </c>
      <c r="D19" s="96" t="s">
        <v>263</v>
      </c>
    </row>
    <row r="23" spans="1:4" x14ac:dyDescent="0.35">
      <c r="B23" t="s">
        <v>277</v>
      </c>
      <c r="C23">
        <v>750000</v>
      </c>
    </row>
    <row r="24" spans="1:4" x14ac:dyDescent="0.35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abSelected="1" topLeftCell="A36" workbookViewId="0">
      <selection activeCell="E53" sqref="E53"/>
    </sheetView>
  </sheetViews>
  <sheetFormatPr defaultRowHeight="14.5" x14ac:dyDescent="0.35"/>
  <cols>
    <col min="2" max="2" width="39.1796875" bestFit="1" customWidth="1"/>
    <col min="3" max="3" width="12.81640625" bestFit="1" customWidth="1"/>
    <col min="4" max="4" width="11.08984375" bestFit="1" customWidth="1"/>
    <col min="5" max="5" width="49.54296875" bestFit="1" customWidth="1"/>
    <col min="6" max="6" width="12.81640625" bestFit="1" customWidth="1"/>
    <col min="7" max="7" width="59.81640625" bestFit="1" customWidth="1"/>
    <col min="8" max="8" width="12.81640625" bestFit="1" customWidth="1"/>
  </cols>
  <sheetData>
    <row r="1" spans="2:16" ht="15" thickBot="1" x14ac:dyDescent="0.4"/>
    <row r="2" spans="2:16" ht="18.5" x14ac:dyDescent="0.35">
      <c r="B2" s="114" t="s">
        <v>139</v>
      </c>
      <c r="C2" s="115"/>
      <c r="D2" t="s">
        <v>303</v>
      </c>
      <c r="E2" s="114" t="s">
        <v>139</v>
      </c>
      <c r="F2" s="115"/>
    </row>
    <row r="3" spans="2:16" ht="14.5" customHeight="1" x14ac:dyDescent="0.35">
      <c r="B3" s="112" t="s">
        <v>290</v>
      </c>
      <c r="C3" s="42" t="s">
        <v>65</v>
      </c>
      <c r="E3" s="112" t="s">
        <v>169</v>
      </c>
      <c r="F3" s="42" t="s">
        <v>65</v>
      </c>
      <c r="P3" t="s">
        <v>292</v>
      </c>
    </row>
    <row r="4" spans="2:16" ht="14.5" customHeight="1" x14ac:dyDescent="0.35">
      <c r="B4" s="113"/>
      <c r="C4" s="43" t="s">
        <v>66</v>
      </c>
      <c r="E4" s="113"/>
      <c r="F4" s="43" t="s">
        <v>66</v>
      </c>
    </row>
    <row r="5" spans="2:16" ht="14.5" customHeight="1" x14ac:dyDescent="0.35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5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5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5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5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5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5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5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5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5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5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5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5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5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5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4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4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5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5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5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5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5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5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5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5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5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5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4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4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5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5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5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4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4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5">
      <c r="B39" s="44" t="s">
        <v>99</v>
      </c>
      <c r="C39" s="45">
        <f>-OthersBudget!C9</f>
        <v>-227633.03999999998</v>
      </c>
      <c r="D39" s="108">
        <f t="shared" si="0"/>
        <v>-87500</v>
      </c>
      <c r="E39" s="44" t="s">
        <v>99</v>
      </c>
      <c r="F39" s="45">
        <v>-140133.03999999998</v>
      </c>
    </row>
    <row r="40" spans="2:6" x14ac:dyDescent="0.35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4">
      <c r="B41" s="47" t="s">
        <v>101</v>
      </c>
      <c r="C41" s="48">
        <f>SUM(C39:C40)</f>
        <v>-227633.03999999998</v>
      </c>
      <c r="D41" s="108">
        <f t="shared" si="0"/>
        <v>-91043.62</v>
      </c>
      <c r="E41" s="47" t="s">
        <v>101</v>
      </c>
      <c r="F41" s="48">
        <v>-136589.41999999998</v>
      </c>
    </row>
    <row r="42" spans="2:6" ht="15" thickBot="1" x14ac:dyDescent="0.4">
      <c r="B42" s="49" t="s">
        <v>102</v>
      </c>
      <c r="C42" s="50">
        <f>+C38+C41</f>
        <v>1869038.855312719</v>
      </c>
      <c r="D42" s="108">
        <f t="shared" si="0"/>
        <v>646125.23749730457</v>
      </c>
      <c r="E42" s="49" t="s">
        <v>102</v>
      </c>
      <c r="F42" s="50">
        <v>1222913.6178154144</v>
      </c>
    </row>
    <row r="43" spans="2:6" x14ac:dyDescent="0.35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5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5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4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4">
      <c r="B47" s="49" t="s">
        <v>107</v>
      </c>
      <c r="C47" s="50">
        <f>+C46+C42</f>
        <v>1869038.855312719</v>
      </c>
      <c r="D47" s="108">
        <f t="shared" si="0"/>
        <v>776629.20749730454</v>
      </c>
      <c r="E47" s="49" t="s">
        <v>107</v>
      </c>
      <c r="F47" s="50">
        <v>1092409.6478154145</v>
      </c>
    </row>
    <row r="48" spans="2:6" ht="15" thickBot="1" x14ac:dyDescent="0.4">
      <c r="B48" s="44" t="s">
        <v>108</v>
      </c>
      <c r="C48" s="45">
        <f>-OthersBudget!C19</f>
        <v>-560711.65659381566</v>
      </c>
      <c r="D48" s="108">
        <f t="shared" si="0"/>
        <v>-232988.76224920026</v>
      </c>
      <c r="E48" s="44" t="s">
        <v>108</v>
      </c>
      <c r="F48" s="45">
        <v>-327722.8943446154</v>
      </c>
    </row>
    <row r="49" spans="2:6" ht="15" thickBot="1" x14ac:dyDescent="0.4">
      <c r="B49" s="49" t="s">
        <v>109</v>
      </c>
      <c r="C49" s="50">
        <f>C47+C48</f>
        <v>1308327.1987189034</v>
      </c>
      <c r="D49" s="108">
        <f t="shared" si="0"/>
        <v>543640.44524810428</v>
      </c>
      <c r="E49" s="49" t="s">
        <v>109</v>
      </c>
      <c r="F49" s="50">
        <v>764686.75347079907</v>
      </c>
    </row>
    <row r="50" spans="2:6" x14ac:dyDescent="0.35">
      <c r="C50" s="102"/>
    </row>
    <row r="53" spans="2:6" x14ac:dyDescent="0.35">
      <c r="E53" s="102"/>
    </row>
    <row r="54" spans="2:6" x14ac:dyDescent="0.35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MICHELE VITALI</cp:lastModifiedBy>
  <dcterms:created xsi:type="dcterms:W3CDTF">2015-06-05T18:19:34Z</dcterms:created>
  <dcterms:modified xsi:type="dcterms:W3CDTF">2025-12-10T10:34:30Z</dcterms:modified>
</cp:coreProperties>
</file>