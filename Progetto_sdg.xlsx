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ikyv\Downloads\"/>
    </mc:Choice>
  </mc:AlternateContent>
  <xr:revisionPtr revIDLastSave="0" documentId="13_ncr:1_{511A9D12-2D66-45F7-9F24-73B69E81CFFF}" xr6:coauthVersionLast="47" xr6:coauthVersionMax="47" xr10:uidLastSave="{00000000-0000-0000-0000-000000000000}"/>
  <bookViews>
    <workbookView xWindow="9510" yWindow="0" windowWidth="9780" windowHeight="10170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8" l="1"/>
  <c r="I5" i="8"/>
  <c r="I6" i="8"/>
  <c r="C29" i="8"/>
  <c r="C28" i="8"/>
  <c r="C27" i="8"/>
  <c r="C26" i="8"/>
  <c r="C23" i="8"/>
  <c r="C21" i="8"/>
  <c r="C20" i="8"/>
  <c r="K59" i="7"/>
  <c r="K57" i="7"/>
  <c r="K55" i="7"/>
  <c r="O5" i="1"/>
  <c r="O6" i="1"/>
  <c r="O7" i="1"/>
  <c r="O8" i="1"/>
  <c r="O9" i="1"/>
  <c r="O10" i="1"/>
  <c r="O11" i="1"/>
  <c r="O4" i="1"/>
  <c r="M12" i="3"/>
  <c r="C43" i="11" l="1"/>
  <c r="C39" i="11"/>
  <c r="C45" i="11"/>
  <c r="C44" i="11"/>
  <c r="C40" i="11"/>
  <c r="C41" i="11"/>
  <c r="C36" i="11"/>
  <c r="C35" i="11"/>
  <c r="C34" i="11"/>
  <c r="C31" i="11"/>
  <c r="C30" i="11"/>
  <c r="C29" i="11"/>
  <c r="C27" i="11"/>
  <c r="C26" i="11"/>
  <c r="C25" i="11"/>
  <c r="C24" i="11"/>
  <c r="C23" i="11"/>
  <c r="C22" i="11"/>
  <c r="C15" i="11"/>
  <c r="C37" i="1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E63" i="7"/>
  <c r="G63" i="7" s="1"/>
  <c r="E62" i="7"/>
  <c r="E61" i="7"/>
  <c r="E60" i="7"/>
  <c r="E59" i="7"/>
  <c r="E58" i="7"/>
  <c r="E57" i="7"/>
  <c r="E56" i="7"/>
  <c r="E55" i="7"/>
  <c r="E54" i="7"/>
  <c r="E53" i="7"/>
  <c r="E52" i="7"/>
  <c r="E51" i="7"/>
  <c r="E47" i="7"/>
  <c r="E46" i="7"/>
  <c r="E45" i="7"/>
  <c r="E44" i="7"/>
  <c r="E43" i="7"/>
  <c r="E38" i="7"/>
  <c r="E37" i="7"/>
  <c r="E36" i="7"/>
  <c r="E35" i="7"/>
  <c r="E34" i="7"/>
  <c r="E33" i="7"/>
  <c r="E32" i="7"/>
  <c r="E31" i="7"/>
  <c r="E30" i="7"/>
  <c r="E29" i="7"/>
  <c r="E28" i="7"/>
  <c r="E25" i="7"/>
  <c r="E24" i="7"/>
  <c r="E23" i="7"/>
  <c r="E22" i="7"/>
  <c r="E21" i="7"/>
  <c r="E20" i="7"/>
  <c r="E19" i="7"/>
  <c r="E18" i="7"/>
  <c r="E17" i="7"/>
  <c r="E16" i="7"/>
  <c r="E15" i="7"/>
  <c r="E14" i="7"/>
  <c r="G14" i="7" s="1"/>
  <c r="E13" i="7"/>
  <c r="E12" i="7"/>
  <c r="E11" i="7"/>
  <c r="E10" i="7"/>
  <c r="E9" i="7"/>
  <c r="E8" i="7"/>
  <c r="E7" i="7"/>
  <c r="E6" i="7"/>
  <c r="E5" i="7"/>
  <c r="E4" i="7"/>
  <c r="E3" i="7"/>
  <c r="M13" i="3"/>
  <c r="M51" i="1" s="1"/>
  <c r="E50" i="7" s="1"/>
  <c r="C9" i="10"/>
  <c r="C5" i="10"/>
  <c r="C3" i="10"/>
  <c r="C3" i="9"/>
  <c r="G11" i="8"/>
  <c r="C36" i="8"/>
  <c r="C30" i="8"/>
  <c r="C18" i="8"/>
  <c r="C22" i="9"/>
  <c r="C20" i="9"/>
  <c r="C18" i="9"/>
  <c r="C13" i="9"/>
  <c r="C11" i="9"/>
  <c r="C9" i="9"/>
  <c r="C7" i="9"/>
  <c r="C5" i="9"/>
  <c r="C4" i="8"/>
  <c r="C2" i="8"/>
  <c r="C9" i="8" s="1"/>
  <c r="C12" i="8" s="1"/>
  <c r="I65" i="7"/>
  <c r="E65" i="7"/>
  <c r="D65" i="7"/>
  <c r="G65" i="7" s="1"/>
  <c r="C65" i="7"/>
  <c r="B65" i="7"/>
  <c r="I64" i="7"/>
  <c r="D64" i="7"/>
  <c r="G64" i="7" s="1"/>
  <c r="C64" i="7"/>
  <c r="B64" i="7"/>
  <c r="D63" i="7"/>
  <c r="C63" i="7"/>
  <c r="B63" i="7"/>
  <c r="D62" i="7"/>
  <c r="C62" i="7"/>
  <c r="B62" i="7"/>
  <c r="D61" i="7"/>
  <c r="C61" i="7"/>
  <c r="B61" i="7"/>
  <c r="D60" i="7"/>
  <c r="C60" i="7"/>
  <c r="B60" i="7"/>
  <c r="D59" i="7"/>
  <c r="C59" i="7"/>
  <c r="B59" i="7"/>
  <c r="D58" i="7"/>
  <c r="C58" i="7"/>
  <c r="B58" i="7"/>
  <c r="D57" i="7"/>
  <c r="C57" i="7"/>
  <c r="B57" i="7"/>
  <c r="D56" i="7"/>
  <c r="C56" i="7"/>
  <c r="B56" i="7"/>
  <c r="D55" i="7"/>
  <c r="C55" i="7"/>
  <c r="B55" i="7"/>
  <c r="D54" i="7"/>
  <c r="C54" i="7"/>
  <c r="B54" i="7"/>
  <c r="D53" i="7"/>
  <c r="C53" i="7"/>
  <c r="B53" i="7"/>
  <c r="D52" i="7"/>
  <c r="C52" i="7"/>
  <c r="B52" i="7"/>
  <c r="D51" i="7"/>
  <c r="C51" i="7"/>
  <c r="B51" i="7"/>
  <c r="D50" i="7"/>
  <c r="C50" i="7"/>
  <c r="B50" i="7"/>
  <c r="D49" i="7"/>
  <c r="C49" i="7"/>
  <c r="B49" i="7"/>
  <c r="D48" i="7"/>
  <c r="C48" i="7"/>
  <c r="B48" i="7"/>
  <c r="D47" i="7"/>
  <c r="C47" i="7"/>
  <c r="B47" i="7"/>
  <c r="D46" i="7"/>
  <c r="C46" i="7"/>
  <c r="B46" i="7"/>
  <c r="D45" i="7"/>
  <c r="C45" i="7"/>
  <c r="B45" i="7"/>
  <c r="D44" i="7"/>
  <c r="C44" i="7"/>
  <c r="B44" i="7"/>
  <c r="D43" i="7"/>
  <c r="C43" i="7"/>
  <c r="B43" i="7"/>
  <c r="D42" i="7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C37" i="7"/>
  <c r="B37" i="7"/>
  <c r="D36" i="7"/>
  <c r="C36" i="7"/>
  <c r="B36" i="7"/>
  <c r="D35" i="7"/>
  <c r="C35" i="7"/>
  <c r="B35" i="7"/>
  <c r="D34" i="7"/>
  <c r="C34" i="7"/>
  <c r="B34" i="7"/>
  <c r="D33" i="7"/>
  <c r="C33" i="7"/>
  <c r="B33" i="7"/>
  <c r="D32" i="7"/>
  <c r="F5" i="8" s="1"/>
  <c r="C32" i="7"/>
  <c r="B32" i="7"/>
  <c r="D31" i="7"/>
  <c r="C31" i="7"/>
  <c r="B31" i="7"/>
  <c r="D30" i="7"/>
  <c r="C30" i="7"/>
  <c r="B30" i="7"/>
  <c r="D29" i="7"/>
  <c r="G29" i="7" s="1"/>
  <c r="C29" i="7"/>
  <c r="B29" i="7"/>
  <c r="D28" i="7"/>
  <c r="C28" i="7"/>
  <c r="B28" i="7"/>
  <c r="D27" i="7"/>
  <c r="C27" i="7"/>
  <c r="B27" i="7"/>
  <c r="D26" i="7"/>
  <c r="C26" i="7"/>
  <c r="B26" i="7"/>
  <c r="D25" i="7"/>
  <c r="C25" i="7"/>
  <c r="B25" i="7"/>
  <c r="D24" i="7"/>
  <c r="C24" i="7"/>
  <c r="B24" i="7"/>
  <c r="D23" i="7"/>
  <c r="C23" i="7"/>
  <c r="B23" i="7"/>
  <c r="D22" i="7"/>
  <c r="C22" i="7"/>
  <c r="B22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D15" i="7"/>
  <c r="C15" i="7"/>
  <c r="B15" i="7"/>
  <c r="D14" i="7"/>
  <c r="C14" i="7"/>
  <c r="B14" i="7"/>
  <c r="D13" i="7"/>
  <c r="C13" i="7"/>
  <c r="B13" i="7"/>
  <c r="D12" i="7"/>
  <c r="C12" i="7"/>
  <c r="B12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C5" i="7"/>
  <c r="B5" i="7"/>
  <c r="D4" i="7"/>
  <c r="C4" i="7"/>
  <c r="B4" i="7"/>
  <c r="D3" i="7"/>
  <c r="C3" i="7"/>
  <c r="B3" i="7"/>
  <c r="G30" i="7" l="1"/>
  <c r="G46" i="7"/>
  <c r="G24" i="7"/>
  <c r="F6" i="8"/>
  <c r="G6" i="8" s="1"/>
  <c r="C42" i="8" s="1"/>
  <c r="G10" i="7"/>
  <c r="G5" i="7"/>
  <c r="G21" i="7"/>
  <c r="G53" i="7"/>
  <c r="G18" i="7"/>
  <c r="G22" i="7"/>
  <c r="F4" i="7"/>
  <c r="G34" i="7"/>
  <c r="M27" i="1"/>
  <c r="E26" i="7" s="1"/>
  <c r="G26" i="7" s="1"/>
  <c r="M40" i="1"/>
  <c r="E39" i="7" s="1"/>
  <c r="G39" i="7" s="1"/>
  <c r="M43" i="1"/>
  <c r="E42" i="7" s="1"/>
  <c r="M49" i="1"/>
  <c r="E48" i="7" s="1"/>
  <c r="G48" i="7" s="1"/>
  <c r="M28" i="1"/>
  <c r="E27" i="7" s="1"/>
  <c r="G27" i="7" s="1"/>
  <c r="M42" i="1"/>
  <c r="E41" i="7" s="1"/>
  <c r="M50" i="1"/>
  <c r="E49" i="7" s="1"/>
  <c r="G49" i="7" s="1"/>
  <c r="M41" i="1"/>
  <c r="E40" i="7" s="1"/>
  <c r="F9" i="7"/>
  <c r="F7" i="7"/>
  <c r="F3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C28" i="1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C7" i="11" s="1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H6" i="8" l="1"/>
  <c r="G14" i="8"/>
  <c r="C11" i="11" a="1"/>
  <c r="C11" i="11" s="1"/>
  <c r="C13" i="11" s="1"/>
  <c r="C6" i="11"/>
  <c r="C5" i="11"/>
  <c r="F7" i="8"/>
  <c r="H5" i="8"/>
  <c r="C41" i="8"/>
  <c r="G4" i="8"/>
  <c r="C40" i="8" s="1"/>
  <c r="G7" i="8"/>
  <c r="G13" i="8" s="1"/>
  <c r="C18" i="11" s="1"/>
  <c r="G67" i="7"/>
  <c r="C27" i="9"/>
  <c r="C10" i="11" l="1"/>
  <c r="I4" i="8"/>
  <c r="G10" i="8" s="1"/>
  <c r="H4" i="8"/>
  <c r="G9" i="8" s="1"/>
  <c r="C43" i="8"/>
  <c r="C16" i="11"/>
  <c r="C14" i="11" l="1"/>
  <c r="C17" i="11"/>
  <c r="C44" i="8"/>
  <c r="G15" i="8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G17" i="8" l="1"/>
  <c r="C19" i="11"/>
  <c r="C20" i="11" s="1"/>
  <c r="C21" i="11" s="1"/>
  <c r="C33" i="11" s="1"/>
  <c r="C38" i="11" s="1"/>
  <c r="C42" i="11" s="1"/>
  <c r="C47" i="11" s="1"/>
  <c r="C19" i="10" s="1"/>
  <c r="C48" i="11" s="1"/>
  <c r="C49" i="11" s="1"/>
  <c r="H4" i="1"/>
  <c r="C21" i="3"/>
  <c r="C33" i="3" s="1"/>
  <c r="C38" i="3" s="1"/>
  <c r="C42" i="3" s="1"/>
  <c r="C47" i="3" s="1"/>
  <c r="C49" i="3" s="1"/>
  <c r="F37" i="3" l="1"/>
  <c r="F32" i="3"/>
  <c r="F28" i="3"/>
  <c r="F20" i="3"/>
  <c r="F17" i="3"/>
  <c r="F79" i="1" l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H76" i="1" l="1"/>
  <c r="J75" i="1" l="1"/>
  <c r="H7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<sst xmlns="http://schemas.openxmlformats.org/spreadsheetml/2006/main" count="726" uniqueCount="303">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</sst>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84" formatCode="0.00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20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31" fillId="14" borderId="0" xfId="0" applyFont="1" applyFill="1"/>
    <xf numFmtId="176" fontId="0" fillId="0" borderId="0" xfId="0" applyNumberFormat="1"/>
    <xf numFmtId="184" fontId="0" fillId="0" borderId="0" xfId="0" applyNumberFormat="1" applyFont="1"/>
    <xf numFmtId="4" fontId="0" fillId="0" borderId="0" xfId="0" applyNumberFormat="1" applyFont="1"/>
    <xf numFmtId="43" fontId="0" fillId="0" borderId="0" xfId="1" applyFont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o\Desktop\Progetto_sdg1.xlsx" TargetMode="External"/><Relationship Id="rId1" Type="http://schemas.openxmlformats.org/officeDocument/2006/relationships/externalLinkPath" Target="/Users/Marco/Desktop/Progetto_sd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 21-22"/>
      <sheetName val="Ricavi"/>
      <sheetName val="RicaviBudget"/>
      <sheetName val="VariableCosts"/>
      <sheetName val="VariableCostsBudget"/>
      <sheetName val="FixedCosts"/>
      <sheetName val="FixedCostsBudget"/>
      <sheetName val="Others"/>
      <sheetName val="OthersBudget"/>
      <sheetName val="CE budget 2022"/>
    </sheetNames>
    <sheetDataSet>
      <sheetData sheetId="0" refreshError="1"/>
      <sheetData sheetId="1" refreshError="1">
        <row r="4">
          <cell r="J4" t="str">
            <v>MP1</v>
          </cell>
          <cell r="K4" t="str">
            <v>MP</v>
          </cell>
          <cell r="L4">
            <v>48000</v>
          </cell>
        </row>
        <row r="5">
          <cell r="J5" t="str">
            <v>MP2</v>
          </cell>
          <cell r="K5" t="str">
            <v>MP</v>
          </cell>
          <cell r="L5">
            <v>700</v>
          </cell>
        </row>
        <row r="6">
          <cell r="J6" t="str">
            <v>MP3</v>
          </cell>
          <cell r="K6" t="str">
            <v>MP</v>
          </cell>
          <cell r="L6">
            <v>1100</v>
          </cell>
        </row>
        <row r="7">
          <cell r="J7" t="str">
            <v>MP4</v>
          </cell>
          <cell r="K7" t="str">
            <v>MP</v>
          </cell>
          <cell r="L7">
            <v>125</v>
          </cell>
        </row>
        <row r="8">
          <cell r="J8" t="str">
            <v>MP5</v>
          </cell>
          <cell r="K8" t="str">
            <v>MP</v>
          </cell>
          <cell r="L8">
            <v>1925</v>
          </cell>
        </row>
        <row r="9">
          <cell r="J9" t="str">
            <v>MP6</v>
          </cell>
          <cell r="K9" t="str">
            <v>MP</v>
          </cell>
          <cell r="L9">
            <v>125</v>
          </cell>
        </row>
        <row r="10">
          <cell r="J10" t="str">
            <v>MP7</v>
          </cell>
          <cell r="K10" t="str">
            <v>MP</v>
          </cell>
          <cell r="L10">
            <v>2000</v>
          </cell>
        </row>
        <row r="11">
          <cell r="J11" t="str">
            <v>MP8</v>
          </cell>
          <cell r="K11" t="str">
            <v>MP</v>
          </cell>
          <cell r="L11">
            <v>1000</v>
          </cell>
        </row>
        <row r="12">
          <cell r="J12" t="str">
            <v>MP9</v>
          </cell>
          <cell r="K12" t="str">
            <v>MP</v>
          </cell>
          <cell r="L12">
            <v>7000</v>
          </cell>
        </row>
        <row r="13">
          <cell r="J13" t="str">
            <v>MP10</v>
          </cell>
          <cell r="K13" t="str">
            <v>MP</v>
          </cell>
          <cell r="L13">
            <v>34866.400000000001</v>
          </cell>
        </row>
        <row r="14">
          <cell r="J14" t="str">
            <v>MP11</v>
          </cell>
          <cell r="K14" t="str">
            <v>MP</v>
          </cell>
          <cell r="L14">
            <v>14037.12</v>
          </cell>
        </row>
        <row r="15">
          <cell r="J15" t="str">
            <v>MP12</v>
          </cell>
          <cell r="K15" t="str">
            <v>MP</v>
          </cell>
          <cell r="L15">
            <v>1904</v>
          </cell>
        </row>
        <row r="16">
          <cell r="J16" t="str">
            <v>MP13</v>
          </cell>
          <cell r="K16" t="str">
            <v>MP</v>
          </cell>
          <cell r="L16">
            <v>150</v>
          </cell>
        </row>
        <row r="17">
          <cell r="J17" t="str">
            <v>MP14</v>
          </cell>
          <cell r="K17" t="str">
            <v>MP</v>
          </cell>
          <cell r="L17">
            <v>20</v>
          </cell>
        </row>
        <row r="18">
          <cell r="J18" t="str">
            <v>PCL1</v>
          </cell>
          <cell r="K18" t="str">
            <v>PCL</v>
          </cell>
          <cell r="L18">
            <v>2160885</v>
          </cell>
        </row>
        <row r="19">
          <cell r="J19" t="str">
            <v>PCL2</v>
          </cell>
          <cell r="K19" t="str">
            <v>PCL</v>
          </cell>
          <cell r="L19">
            <v>168325</v>
          </cell>
        </row>
        <row r="20">
          <cell r="J20" t="str">
            <v>PCL3</v>
          </cell>
          <cell r="K20" t="str">
            <v>PCL</v>
          </cell>
          <cell r="L20">
            <v>495475</v>
          </cell>
        </row>
        <row r="21">
          <cell r="J21" t="str">
            <v>PCL4</v>
          </cell>
          <cell r="K21" t="str">
            <v>PCL</v>
          </cell>
          <cell r="L21">
            <v>489058</v>
          </cell>
        </row>
        <row r="22">
          <cell r="J22" t="str">
            <v>PCL5</v>
          </cell>
          <cell r="K22" t="str">
            <v>PCL</v>
          </cell>
          <cell r="L22">
            <v>6160</v>
          </cell>
        </row>
        <row r="23">
          <cell r="J23" t="str">
            <v>PF P1</v>
          </cell>
          <cell r="K23" t="str">
            <v>PF</v>
          </cell>
          <cell r="L23">
            <v>1719564</v>
          </cell>
        </row>
        <row r="24">
          <cell r="J24" t="str">
            <v>PF P2</v>
          </cell>
          <cell r="K24" t="str">
            <v>PF</v>
          </cell>
          <cell r="L24">
            <v>292499</v>
          </cell>
        </row>
        <row r="25">
          <cell r="J25" t="str">
            <v>PF P3</v>
          </cell>
          <cell r="K25" t="str">
            <v>PF</v>
          </cell>
          <cell r="L25">
            <v>442800</v>
          </cell>
        </row>
        <row r="26">
          <cell r="J26" t="str">
            <v>PF P4</v>
          </cell>
          <cell r="K26" t="str">
            <v>PF</v>
          </cell>
          <cell r="L26">
            <v>8070474</v>
          </cell>
        </row>
        <row r="27">
          <cell r="J27" t="str">
            <v>PF P5</v>
          </cell>
          <cell r="K27" t="str">
            <v>PF</v>
          </cell>
          <cell r="L27">
            <v>205850</v>
          </cell>
        </row>
        <row r="28">
          <cell r="J28" t="str">
            <v>PF P6</v>
          </cell>
          <cell r="K28" t="str">
            <v>PF</v>
          </cell>
          <cell r="L28">
            <v>3233156</v>
          </cell>
        </row>
        <row r="29">
          <cell r="J29" t="str">
            <v>PF P7</v>
          </cell>
          <cell r="K29" t="str">
            <v>PF</v>
          </cell>
          <cell r="L29">
            <v>660340</v>
          </cell>
        </row>
        <row r="30">
          <cell r="J30" t="str">
            <v>PF V1</v>
          </cell>
          <cell r="K30" t="str">
            <v>PF</v>
          </cell>
          <cell r="L30">
            <v>509668</v>
          </cell>
        </row>
        <row r="31">
          <cell r="J31" t="str">
            <v>PF V2</v>
          </cell>
          <cell r="K31" t="str">
            <v>PF</v>
          </cell>
          <cell r="L31">
            <v>2539984</v>
          </cell>
        </row>
        <row r="32">
          <cell r="J32" t="str">
            <v>PF V3</v>
          </cell>
          <cell r="K32" t="str">
            <v>PF</v>
          </cell>
          <cell r="L32">
            <v>879638</v>
          </cell>
        </row>
        <row r="33">
          <cell r="J33" t="str">
            <v>PF V4</v>
          </cell>
          <cell r="K33" t="str">
            <v>PF</v>
          </cell>
          <cell r="L33">
            <v>579689</v>
          </cell>
        </row>
        <row r="34">
          <cell r="J34" t="str">
            <v>PF V5</v>
          </cell>
          <cell r="K34" t="str">
            <v>PF</v>
          </cell>
          <cell r="L34">
            <v>448105</v>
          </cell>
        </row>
        <row r="35">
          <cell r="J35" t="str">
            <v>PF V6</v>
          </cell>
          <cell r="K35" t="str">
            <v>PF</v>
          </cell>
          <cell r="L35">
            <v>130100</v>
          </cell>
        </row>
        <row r="36">
          <cell r="J36" t="str">
            <v>PF V7</v>
          </cell>
          <cell r="K36" t="str">
            <v>PF</v>
          </cell>
          <cell r="L36">
            <v>13340</v>
          </cell>
        </row>
        <row r="37">
          <cell r="J37" t="str">
            <v>PF V8</v>
          </cell>
          <cell r="K37" t="str">
            <v>PF</v>
          </cell>
          <cell r="L37">
            <v>81820</v>
          </cell>
        </row>
        <row r="38">
          <cell r="J38" t="str">
            <v>PF V9</v>
          </cell>
          <cell r="K38" t="str">
            <v>PF</v>
          </cell>
          <cell r="L38">
            <v>21040</v>
          </cell>
        </row>
        <row r="39">
          <cell r="J39" t="str">
            <v>PF V10</v>
          </cell>
          <cell r="K39" t="str">
            <v>PF</v>
          </cell>
          <cell r="L39">
            <v>14625</v>
          </cell>
        </row>
        <row r="40">
          <cell r="J40" t="str">
            <v>PF V11</v>
          </cell>
          <cell r="K40" t="str">
            <v>PF</v>
          </cell>
          <cell r="L40">
            <v>307868</v>
          </cell>
        </row>
        <row r="41">
          <cell r="J41" t="str">
            <v>PF V12</v>
          </cell>
          <cell r="K41" t="str">
            <v>PF</v>
          </cell>
          <cell r="L41">
            <v>7000</v>
          </cell>
        </row>
        <row r="42">
          <cell r="J42" t="str">
            <v>PF V13</v>
          </cell>
          <cell r="K42" t="str">
            <v>PF</v>
          </cell>
          <cell r="L42">
            <v>850145</v>
          </cell>
        </row>
        <row r="43">
          <cell r="J43" t="str">
            <v>PF V14</v>
          </cell>
          <cell r="K43" t="str">
            <v>PF</v>
          </cell>
          <cell r="L43">
            <v>40480</v>
          </cell>
        </row>
        <row r="44">
          <cell r="J44" t="str">
            <v>PF V15</v>
          </cell>
          <cell r="K44" t="str">
            <v>PF</v>
          </cell>
          <cell r="L44">
            <v>30000</v>
          </cell>
        </row>
        <row r="45">
          <cell r="J45" t="str">
            <v>PF V16</v>
          </cell>
          <cell r="K45" t="str">
            <v>PF</v>
          </cell>
          <cell r="L45">
            <v>16500</v>
          </cell>
        </row>
        <row r="46">
          <cell r="J46" t="str">
            <v>PF A1</v>
          </cell>
          <cell r="K46" t="str">
            <v>PF</v>
          </cell>
          <cell r="L46">
            <v>94290</v>
          </cell>
        </row>
        <row r="47">
          <cell r="J47" t="str">
            <v>PF A2</v>
          </cell>
          <cell r="K47" t="str">
            <v>PF</v>
          </cell>
          <cell r="L47">
            <v>151620</v>
          </cell>
        </row>
        <row r="48">
          <cell r="J48" t="str">
            <v>PF A3</v>
          </cell>
          <cell r="K48" t="str">
            <v>PF</v>
          </cell>
          <cell r="L48">
            <v>411979</v>
          </cell>
        </row>
        <row r="49">
          <cell r="J49" t="str">
            <v>PF A4</v>
          </cell>
          <cell r="K49" t="str">
            <v>PF</v>
          </cell>
          <cell r="L49">
            <v>1362839</v>
          </cell>
        </row>
        <row r="50">
          <cell r="J50" t="str">
            <v>PF A5</v>
          </cell>
          <cell r="K50" t="str">
            <v>PF</v>
          </cell>
          <cell r="L50">
            <v>96425</v>
          </cell>
        </row>
        <row r="51">
          <cell r="J51" t="str">
            <v>PF A6</v>
          </cell>
          <cell r="K51" t="str">
            <v>PF</v>
          </cell>
          <cell r="L51">
            <v>61100</v>
          </cell>
        </row>
        <row r="52">
          <cell r="J52" t="str">
            <v>PF A7</v>
          </cell>
          <cell r="K52" t="str">
            <v>PF</v>
          </cell>
          <cell r="L52">
            <v>2820458.99</v>
          </cell>
        </row>
        <row r="53">
          <cell r="J53" t="str">
            <v>PF A8</v>
          </cell>
          <cell r="K53" t="str">
            <v>PF</v>
          </cell>
          <cell r="L53">
            <v>157263</v>
          </cell>
        </row>
        <row r="54">
          <cell r="J54" t="str">
            <v>PF A9</v>
          </cell>
          <cell r="K54" t="str">
            <v>PF</v>
          </cell>
          <cell r="L54">
            <v>261930</v>
          </cell>
        </row>
        <row r="55">
          <cell r="J55" t="str">
            <v>PF A10</v>
          </cell>
          <cell r="K55" t="str">
            <v>PF</v>
          </cell>
          <cell r="L55">
            <v>500680</v>
          </cell>
        </row>
        <row r="56">
          <cell r="J56" t="str">
            <v>PF A11</v>
          </cell>
          <cell r="K56" t="str">
            <v>PF</v>
          </cell>
          <cell r="L56">
            <v>62569</v>
          </cell>
        </row>
        <row r="57">
          <cell r="J57" t="str">
            <v>PF A12</v>
          </cell>
          <cell r="K57" t="str">
            <v>PF</v>
          </cell>
          <cell r="L57">
            <v>927765</v>
          </cell>
        </row>
        <row r="58">
          <cell r="J58" t="str">
            <v>PF A13</v>
          </cell>
          <cell r="K58" t="str">
            <v>PF</v>
          </cell>
          <cell r="L58">
            <v>129425</v>
          </cell>
        </row>
        <row r="59">
          <cell r="J59" t="str">
            <v>PF A14</v>
          </cell>
          <cell r="K59" t="str">
            <v>PF</v>
          </cell>
          <cell r="L59">
            <v>131955</v>
          </cell>
        </row>
        <row r="60">
          <cell r="J60" t="str">
            <v>PF A15</v>
          </cell>
          <cell r="K60" t="str">
            <v>PF</v>
          </cell>
          <cell r="L60">
            <v>375075</v>
          </cell>
        </row>
        <row r="61">
          <cell r="J61" t="str">
            <v>PF A16</v>
          </cell>
          <cell r="K61" t="str">
            <v>PF</v>
          </cell>
          <cell r="L61">
            <v>151110</v>
          </cell>
        </row>
        <row r="62">
          <cell r="J62" t="str">
            <v>PF A17</v>
          </cell>
          <cell r="K62" t="str">
            <v>PF</v>
          </cell>
          <cell r="L62">
            <v>240225</v>
          </cell>
        </row>
        <row r="63">
          <cell r="J63" t="str">
            <v>PF A18</v>
          </cell>
          <cell r="K63" t="str">
            <v>PF</v>
          </cell>
          <cell r="L63">
            <v>392880</v>
          </cell>
        </row>
        <row r="64">
          <cell r="J64" t="str">
            <v>PF A19</v>
          </cell>
          <cell r="K64" t="str">
            <v>PF</v>
          </cell>
          <cell r="L64">
            <v>1325620</v>
          </cell>
        </row>
        <row r="65">
          <cell r="J65" t="str">
            <v>Spese trasporto</v>
          </cell>
          <cell r="K65" t="str">
            <v>Others</v>
          </cell>
          <cell r="L65">
            <v>25000</v>
          </cell>
        </row>
        <row r="66">
          <cell r="J66" t="str">
            <v>Premio Year22</v>
          </cell>
          <cell r="K66" t="str">
            <v>Others</v>
          </cell>
          <cell r="L66">
            <v>12</v>
          </cell>
          <cell r="M66">
            <v>18980.987499999999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showGridLines="0" tabSelected="1" zoomScale="60" zoomScaleNormal="60" workbookViewId="0">
      <selection activeCell="L17" sqref="L17"/>
    </sheetView>
  </sheetViews>
  <sheetFormatPr defaultColWidth="8.81640625" defaultRowHeight="14.5" x14ac:dyDescent="0.35"/>
  <cols>
    <col min="1" max="1" width="2.81640625" style="1" customWidth="1"/>
    <col min="2" max="2" width="45.453125" style="1" bestFit="1" customWidth="1"/>
    <col min="3" max="3" width="12.81640625" style="1" bestFit="1" customWidth="1"/>
    <col min="4" max="4" width="13.7265625" style="1" bestFit="1" customWidth="1"/>
    <col min="5" max="5" width="45.453125" style="1" bestFit="1" customWidth="1"/>
    <col min="6" max="6" width="12.81640625" style="1" bestFit="1" customWidth="1"/>
    <col min="7" max="7" width="13.7265625" style="1" customWidth="1"/>
    <col min="8" max="16384" width="8.81640625" style="1"/>
  </cols>
  <sheetData>
    <row r="1" spans="2:14" ht="16.149999999999999" customHeight="1" thickBot="1" x14ac:dyDescent="0.4"/>
    <row r="2" spans="2:14" ht="19" thickBot="1" x14ac:dyDescent="0.4">
      <c r="B2" s="106" t="s">
        <v>139</v>
      </c>
      <c r="C2" s="107"/>
      <c r="E2" s="106" t="s">
        <v>139</v>
      </c>
      <c r="F2" s="107"/>
    </row>
    <row r="3" spans="2:14" x14ac:dyDescent="0.35">
      <c r="B3" s="104" t="s">
        <v>169</v>
      </c>
      <c r="C3" s="42" t="s">
        <v>65</v>
      </c>
      <c r="E3" s="108" t="s">
        <v>170</v>
      </c>
      <c r="F3" s="80" t="s">
        <v>65</v>
      </c>
    </row>
    <row r="4" spans="2:14" x14ac:dyDescent="0.35">
      <c r="B4" s="105"/>
      <c r="C4" s="43" t="s">
        <v>66</v>
      </c>
      <c r="E4" s="105"/>
      <c r="F4" s="43" t="s">
        <v>66</v>
      </c>
      <c r="J4" s="1" t="s">
        <v>191</v>
      </c>
    </row>
    <row r="5" spans="2:14" x14ac:dyDescent="0.35">
      <c r="B5" s="44" t="s">
        <v>67</v>
      </c>
      <c r="C5" s="85">
        <v>61294659.022799999</v>
      </c>
      <c r="E5" s="44"/>
      <c r="F5" s="45"/>
    </row>
    <row r="6" spans="2:14" x14ac:dyDescent="0.35">
      <c r="B6" s="46" t="s">
        <v>137</v>
      </c>
      <c r="C6" s="84">
        <v>528226.62545000005</v>
      </c>
      <c r="E6" s="46"/>
      <c r="F6" s="45"/>
    </row>
    <row r="7" spans="2:14" x14ac:dyDescent="0.35">
      <c r="B7" s="44" t="s">
        <v>138</v>
      </c>
      <c r="C7" s="84">
        <v>1877590.3519999997</v>
      </c>
      <c r="E7" s="44"/>
      <c r="F7" s="45"/>
    </row>
    <row r="8" spans="2:14" x14ac:dyDescent="0.35">
      <c r="B8" s="44" t="s">
        <v>68</v>
      </c>
      <c r="C8" s="89">
        <v>120000</v>
      </c>
      <c r="E8" s="44"/>
      <c r="F8" s="45"/>
    </row>
    <row r="9" spans="2:14" x14ac:dyDescent="0.35">
      <c r="B9" s="44" t="s">
        <v>69</v>
      </c>
      <c r="C9" s="89">
        <v>500000</v>
      </c>
      <c r="E9" s="44"/>
      <c r="F9" s="45"/>
    </row>
    <row r="10" spans="2:14" x14ac:dyDescent="0.3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5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5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4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4">
      <c r="B21" s="49" t="s">
        <v>81</v>
      </c>
      <c r="C21" s="50">
        <f>+C10+C13+C17+C20</f>
        <v>11052003.037815414</v>
      </c>
      <c r="E21" s="49"/>
      <c r="F21" s="50"/>
    </row>
    <row r="22" spans="2:6" x14ac:dyDescent="0.3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4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4">
      <c r="B33" s="51" t="s">
        <v>93</v>
      </c>
      <c r="C33" s="52">
        <f>+C21+C28+C32</f>
        <v>2384503.0378154144</v>
      </c>
      <c r="E33" s="51"/>
      <c r="F33" s="52"/>
    </row>
    <row r="34" spans="2:7" x14ac:dyDescent="0.3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4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4">
      <c r="B38" s="49" t="s">
        <v>98</v>
      </c>
      <c r="C38" s="50">
        <f>+C33+C37</f>
        <v>1359503.0378154144</v>
      </c>
      <c r="E38" s="28"/>
    </row>
    <row r="39" spans="2:7" x14ac:dyDescent="0.35">
      <c r="B39" s="44" t="s">
        <v>99</v>
      </c>
      <c r="C39" s="45">
        <v>-140133.03999999998</v>
      </c>
      <c r="E39" s="28"/>
    </row>
    <row r="40" spans="2:7" x14ac:dyDescent="0.35">
      <c r="B40" s="44" t="s">
        <v>100</v>
      </c>
      <c r="C40" s="45">
        <v>3543.6200000000003</v>
      </c>
      <c r="E40" s="28"/>
    </row>
    <row r="41" spans="2:7" ht="15" thickBot="1" x14ac:dyDescent="0.4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4">
      <c r="B42" s="49" t="s">
        <v>102</v>
      </c>
      <c r="C42" s="50">
        <f>+C38+C41</f>
        <v>1222913.6178154144</v>
      </c>
      <c r="E42" s="28"/>
    </row>
    <row r="43" spans="2:7" x14ac:dyDescent="0.35">
      <c r="B43" s="44" t="s">
        <v>103</v>
      </c>
      <c r="C43" s="45">
        <v>-130503.97</v>
      </c>
      <c r="E43" s="28"/>
    </row>
    <row r="44" spans="2:7" x14ac:dyDescent="0.35">
      <c r="B44" s="44" t="s">
        <v>104</v>
      </c>
      <c r="C44" s="45">
        <v>0</v>
      </c>
      <c r="E44" s="28"/>
    </row>
    <row r="45" spans="2:7" x14ac:dyDescent="0.35">
      <c r="B45" s="44" t="s">
        <v>105</v>
      </c>
      <c r="C45" s="45">
        <v>0</v>
      </c>
      <c r="E45" s="28"/>
    </row>
    <row r="46" spans="2:7" ht="15" thickBot="1" x14ac:dyDescent="0.4">
      <c r="B46" s="47" t="s">
        <v>106</v>
      </c>
      <c r="C46" s="48">
        <f>SUM(C43:C45)</f>
        <v>-130503.97</v>
      </c>
      <c r="E46" s="28"/>
    </row>
    <row r="47" spans="2:7" ht="15" thickBot="1" x14ac:dyDescent="0.4">
      <c r="B47" s="49" t="s">
        <v>107</v>
      </c>
      <c r="C47" s="50">
        <f>+C46+C42</f>
        <v>1092409.6478154145</v>
      </c>
      <c r="E47" s="28"/>
    </row>
    <row r="48" spans="2:7" ht="15" thickBot="1" x14ac:dyDescent="0.4">
      <c r="B48" s="44" t="s">
        <v>108</v>
      </c>
      <c r="C48" s="45">
        <v>-327722.8943446154</v>
      </c>
      <c r="E48" s="28"/>
    </row>
    <row r="49" spans="2:6" ht="15" thickBot="1" x14ac:dyDescent="0.4">
      <c r="B49" s="49" t="s">
        <v>109</v>
      </c>
      <c r="C49" s="50">
        <f>+C48+C47</f>
        <v>764686.75347079907</v>
      </c>
      <c r="E49" s="28"/>
    </row>
    <row r="50" spans="2:6" x14ac:dyDescent="0.35">
      <c r="B50" s="28"/>
      <c r="E50" s="28"/>
    </row>
    <row r="51" spans="2:6" x14ac:dyDescent="0.35">
      <c r="B51" s="28"/>
      <c r="E51" s="28"/>
    </row>
    <row r="52" spans="2:6" x14ac:dyDescent="0.35">
      <c r="B52" s="28"/>
      <c r="E52" s="28"/>
    </row>
    <row r="53" spans="2:6" x14ac:dyDescent="0.35">
      <c r="B53" s="28"/>
      <c r="E53" s="28"/>
    </row>
    <row r="54" spans="2:6" x14ac:dyDescent="0.35">
      <c r="B54" s="28"/>
      <c r="E54" s="28"/>
    </row>
    <row r="55" spans="2:6" x14ac:dyDescent="0.35">
      <c r="B55" s="28"/>
      <c r="E55" s="28"/>
    </row>
    <row r="56" spans="2:6" x14ac:dyDescent="0.35">
      <c r="B56" s="28"/>
      <c r="E56" s="28"/>
    </row>
    <row r="57" spans="2:6" x14ac:dyDescent="0.35">
      <c r="B57" s="28"/>
      <c r="C57" s="29"/>
      <c r="E57" s="28"/>
      <c r="F57" s="29"/>
    </row>
    <row r="58" spans="2:6" x14ac:dyDescent="0.35">
      <c r="B58" s="28"/>
      <c r="E58" s="28"/>
    </row>
    <row r="59" spans="2:6" x14ac:dyDescent="0.35">
      <c r="B59" s="28"/>
      <c r="E59" s="28"/>
    </row>
    <row r="60" spans="2:6" x14ac:dyDescent="0.35">
      <c r="B60" s="28"/>
      <c r="C60" s="29"/>
      <c r="E60" s="28"/>
      <c r="F60" s="29"/>
    </row>
    <row r="61" spans="2:6" x14ac:dyDescent="0.35">
      <c r="B61" s="28"/>
      <c r="E61" s="28"/>
    </row>
    <row r="62" spans="2:6" x14ac:dyDescent="0.3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topLeftCell="A71" zoomScale="60" zoomScaleNormal="60" workbookViewId="0">
      <selection activeCell="O12" sqref="O12"/>
    </sheetView>
  </sheetViews>
  <sheetFormatPr defaultColWidth="8.81640625" defaultRowHeight="14.5" x14ac:dyDescent="0.35"/>
  <cols>
    <col min="1" max="1" width="2.81640625" style="1" customWidth="1"/>
    <col min="2" max="2" width="14.26953125" style="1" customWidth="1"/>
    <col min="3" max="3" width="8.54296875" style="1" bestFit="1" customWidth="1"/>
    <col min="4" max="4" width="12.453125" style="1" bestFit="1" customWidth="1"/>
    <col min="5" max="5" width="13.54296875" style="1" bestFit="1" customWidth="1"/>
    <col min="6" max="6" width="16.7265625" style="1" bestFit="1" customWidth="1"/>
    <col min="7" max="7" width="14.54296875" style="1" bestFit="1" customWidth="1"/>
    <col min="8" max="8" width="14.7265625" style="1" bestFit="1" customWidth="1"/>
    <col min="9" max="9" width="11.7265625" style="1" bestFit="1" customWidth="1"/>
    <col min="10" max="10" width="14.7265625" style="1" bestFit="1" customWidth="1"/>
    <col min="11" max="11" width="9.7265625" style="1" bestFit="1" customWidth="1"/>
    <col min="12" max="12" width="12.453125" style="1" bestFit="1" customWidth="1"/>
    <col min="13" max="14" width="13.54296875" style="1" bestFit="1" customWidth="1"/>
    <col min="15" max="16" width="16.7265625" style="1" bestFit="1" customWidth="1"/>
    <col min="17" max="17" width="18.81640625" style="1" bestFit="1" customWidth="1"/>
    <col min="18" max="18" width="8.81640625" style="1"/>
    <col min="19" max="19" width="8.81640625" style="1" customWidth="1"/>
    <col min="20" max="16384" width="8.81640625" style="1"/>
  </cols>
  <sheetData>
    <row r="1" spans="1:19" ht="15.65" customHeight="1" thickBot="1" x14ac:dyDescent="0.4"/>
    <row r="2" spans="1:19" ht="15" thickBot="1" x14ac:dyDescent="0.4">
      <c r="B2" s="109" t="s">
        <v>162</v>
      </c>
      <c r="C2" s="110"/>
      <c r="D2" s="110"/>
      <c r="E2" s="110"/>
      <c r="F2" s="111"/>
      <c r="H2" s="59"/>
      <c r="J2" s="109" t="s">
        <v>64</v>
      </c>
      <c r="K2" s="110"/>
      <c r="L2" s="110"/>
      <c r="M2" s="110"/>
      <c r="N2" s="110"/>
      <c r="O2" s="110"/>
      <c r="P2" s="110"/>
      <c r="Q2" s="111"/>
      <c r="S2" s="88"/>
    </row>
    <row r="3" spans="1:19" ht="15" thickBot="1" x14ac:dyDescent="0.4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4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</row>
    <row r="5" spans="1:19" ht="15" thickBot="1" x14ac:dyDescent="0.4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</row>
    <row r="6" spans="1:19" ht="15" thickBot="1" x14ac:dyDescent="0.4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</row>
    <row r="7" spans="1:19" ht="15" thickBot="1" x14ac:dyDescent="0.4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</row>
    <row r="8" spans="1:19" ht="15" thickBot="1" x14ac:dyDescent="0.4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</row>
    <row r="9" spans="1:19" ht="15" thickBot="1" x14ac:dyDescent="0.4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</row>
    <row r="10" spans="1:19" ht="15" thickBot="1" x14ac:dyDescent="0.4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</row>
    <row r="11" spans="1:19" x14ac:dyDescent="0.3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</row>
    <row r="12" spans="1:19" x14ac:dyDescent="0.3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4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4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</row>
    <row r="28" spans="2:17" x14ac:dyDescent="0.3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</row>
    <row r="29" spans="2:17" x14ac:dyDescent="0.3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</row>
    <row r="41" spans="2:17" x14ac:dyDescent="0.3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</row>
    <row r="42" spans="2:17" x14ac:dyDescent="0.3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</row>
    <row r="43" spans="2:17" x14ac:dyDescent="0.3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</row>
    <row r="44" spans="2:17" x14ac:dyDescent="0.3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</row>
    <row r="50" spans="2:17" x14ac:dyDescent="0.3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</row>
    <row r="51" spans="2:17" x14ac:dyDescent="0.3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</row>
    <row r="52" spans="2:17" x14ac:dyDescent="0.3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4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4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5">
      <c r="D80" s="1" t="s">
        <v>192</v>
      </c>
      <c r="E80" s="1" t="s">
        <v>193</v>
      </c>
      <c r="G80" s="2"/>
      <c r="H80" s="2"/>
    </row>
    <row r="81" spans="2:8" x14ac:dyDescent="0.35">
      <c r="B81" s="1" t="s">
        <v>152</v>
      </c>
    </row>
    <row r="82" spans="2:8" x14ac:dyDescent="0.35">
      <c r="B82" s="1" t="s">
        <v>153</v>
      </c>
      <c r="H82" s="2"/>
    </row>
    <row r="83" spans="2:8" x14ac:dyDescent="0.35">
      <c r="B83" s="1" t="s">
        <v>155</v>
      </c>
      <c r="H83" s="2"/>
    </row>
    <row r="1048576" spans="16384:16384" x14ac:dyDescent="0.3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zoomScale="60" zoomScaleNormal="60" workbookViewId="0">
      <selection activeCell="K65" sqref="K65"/>
    </sheetView>
  </sheetViews>
  <sheetFormatPr defaultRowHeight="14.5" x14ac:dyDescent="0.35"/>
  <cols>
    <col min="2" max="2" width="18.7265625" bestFit="1" customWidth="1"/>
    <col min="3" max="3" width="10" customWidth="1"/>
    <col min="4" max="5" width="19.54296875" bestFit="1" customWidth="1"/>
    <col min="6" max="6" width="19.54296875" customWidth="1"/>
    <col min="7" max="7" width="16.453125" bestFit="1" customWidth="1"/>
    <col min="8" max="8" width="8.453125" bestFit="1" customWidth="1"/>
    <col min="9" max="9" width="38.54296875" bestFit="1" customWidth="1"/>
    <col min="11" max="11" width="33" customWidth="1"/>
    <col min="12" max="12" width="12.542968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5">
      <c r="A3" s="96"/>
      <c r="B3" s="96" t="str">
        <f>[2]Ricavi!J4</f>
        <v>MP1</v>
      </c>
      <c r="C3" s="96" t="str">
        <f>[2]Ricavi!K4</f>
        <v>MP</v>
      </c>
      <c r="D3" s="96">
        <f>[2]Ricavi!L4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5">
      <c r="A4" s="96"/>
      <c r="B4" s="96" t="str">
        <f>[2]Ricavi!J5</f>
        <v>MP2</v>
      </c>
      <c r="C4" s="96" t="str">
        <f>[2]Ricavi!K5</f>
        <v>MP</v>
      </c>
      <c r="D4" s="96">
        <f>[2]Ricavi!L5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5">
      <c r="A5" s="96"/>
      <c r="B5" s="96" t="str">
        <f>[2]Ricavi!J6</f>
        <v>MP3</v>
      </c>
      <c r="C5" s="96" t="str">
        <f>[2]Ricavi!K6</f>
        <v>MP</v>
      </c>
      <c r="D5" s="96">
        <f>[2]Ricavi!L6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5">
      <c r="A6" s="96"/>
      <c r="B6" s="96" t="str">
        <f>[2]Ricavi!J7</f>
        <v>MP4</v>
      </c>
      <c r="C6" s="96" t="str">
        <f>[2]Ricavi!K7</f>
        <v>MP</v>
      </c>
      <c r="D6" s="96">
        <f>[2]Ricavi!L7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5">
      <c r="A7" s="96"/>
      <c r="B7" s="96" t="str">
        <f>[2]Ricavi!J8</f>
        <v>MP5</v>
      </c>
      <c r="C7" s="96" t="str">
        <f>[2]Ricavi!K8</f>
        <v>MP</v>
      </c>
      <c r="D7" s="96">
        <f>[2]Ricavi!L8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5">
      <c r="A8" s="96"/>
      <c r="B8" s="96" t="str">
        <f>[2]Ricavi!J9</f>
        <v>MP6</v>
      </c>
      <c r="C8" s="96" t="str">
        <f>[2]Ricavi!K9</f>
        <v>MP</v>
      </c>
      <c r="D8" s="96">
        <f>[2]Ricavi!L9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5">
      <c r="A9" s="96"/>
      <c r="B9" s="96" t="str">
        <f>[2]Ricavi!J10</f>
        <v>MP7</v>
      </c>
      <c r="C9" s="96" t="str">
        <f>[2]Ricavi!K10</f>
        <v>MP</v>
      </c>
      <c r="D9" s="96">
        <f>[2]Ricavi!L10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5">
      <c r="A10" s="96"/>
      <c r="B10" s="96" t="str">
        <f>[2]Ricavi!J11</f>
        <v>MP8</v>
      </c>
      <c r="C10" s="96" t="str">
        <f>[2]Ricavi!K11</f>
        <v>MP</v>
      </c>
      <c r="D10" s="96">
        <f>[2]Ricavi!L11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5">
      <c r="A11" s="96"/>
      <c r="B11" s="96" t="str">
        <f>[2]Ricavi!J12</f>
        <v>MP9</v>
      </c>
      <c r="C11" s="96" t="str">
        <f>[2]Ricavi!K12</f>
        <v>MP</v>
      </c>
      <c r="D11" s="96">
        <f>[2]Ricavi!L12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5">
      <c r="A12" s="96"/>
      <c r="B12" s="96" t="str">
        <f>[2]Ricavi!J13</f>
        <v>MP10</v>
      </c>
      <c r="C12" s="96" t="str">
        <f>[2]Ricavi!K13</f>
        <v>MP</v>
      </c>
      <c r="D12" s="96">
        <f>[2]Ricavi!L13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5">
      <c r="A13" s="96"/>
      <c r="B13" s="96" t="str">
        <f>[2]Ricavi!J14</f>
        <v>MP11</v>
      </c>
      <c r="C13" s="96" t="str">
        <f>[2]Ricavi!K14</f>
        <v>MP</v>
      </c>
      <c r="D13" s="96">
        <f>[2]Ricavi!L14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5">
      <c r="A14" s="96"/>
      <c r="B14" s="96" t="str">
        <f>[2]Ricavi!J15</f>
        <v>MP12</v>
      </c>
      <c r="C14" s="96" t="str">
        <f>[2]Ricavi!K15</f>
        <v>MP</v>
      </c>
      <c r="D14" s="96">
        <f>[2]Ricavi!L15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5">
      <c r="A15" s="96"/>
      <c r="B15" s="96" t="str">
        <f>[2]Ricavi!J16</f>
        <v>MP13</v>
      </c>
      <c r="C15" s="96" t="str">
        <f>[2]Ricavi!K16</f>
        <v>MP</v>
      </c>
      <c r="D15" s="96">
        <f>[2]Ricavi!L16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5">
      <c r="A16" s="96"/>
      <c r="B16" s="96" t="str">
        <f>[2]Ricavi!J17</f>
        <v>MP14</v>
      </c>
      <c r="C16" s="96" t="str">
        <f>[2]Ricavi!K17</f>
        <v>MP</v>
      </c>
      <c r="D16" s="96">
        <f>[2]Ricavi!L17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/>
    </row>
    <row r="17" spans="1:12" x14ac:dyDescent="0.35">
      <c r="A17" s="96"/>
      <c r="B17" s="96" t="str">
        <f>[2]Ricavi!J18</f>
        <v>PCL1</v>
      </c>
      <c r="C17" s="96" t="str">
        <f>[2]Ricavi!K18</f>
        <v>PCL</v>
      </c>
      <c r="D17" s="96">
        <f>[2]Ricavi!L18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5">
      <c r="A18" s="96"/>
      <c r="B18" s="96" t="str">
        <f>[2]Ricavi!J19</f>
        <v>PCL2</v>
      </c>
      <c r="C18" s="96" t="str">
        <f>[2]Ricavi!K19</f>
        <v>PCL</v>
      </c>
      <c r="D18" s="96">
        <f>[2]Ricavi!L19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5">
      <c r="A19" s="96"/>
      <c r="B19" s="96" t="str">
        <f>[2]Ricavi!J20</f>
        <v>PCL3</v>
      </c>
      <c r="C19" s="96" t="str">
        <f>[2]Ricavi!K20</f>
        <v>PCL</v>
      </c>
      <c r="D19" s="96">
        <f>[2]Ricavi!L20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5">
      <c r="A20" s="96"/>
      <c r="B20" s="96" t="str">
        <f>[2]Ricavi!J21</f>
        <v>PCL4</v>
      </c>
      <c r="C20" s="96" t="str">
        <f>[2]Ricavi!K21</f>
        <v>PCL</v>
      </c>
      <c r="D20" s="96">
        <f>[2]Ricavi!L21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5">
      <c r="A21" s="96"/>
      <c r="B21" s="96" t="str">
        <f>[2]Ricavi!J22</f>
        <v>PCL5</v>
      </c>
      <c r="C21" s="96" t="str">
        <f>[2]Ricavi!K22</f>
        <v>PCL</v>
      </c>
      <c r="D21" s="96">
        <f>[2]Ricavi!L22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5">
      <c r="A22" s="96"/>
      <c r="B22" s="96" t="str">
        <f>[2]Ricavi!J23</f>
        <v>PF P1</v>
      </c>
      <c r="C22" s="96" t="str">
        <f>[2]Ricavi!K23</f>
        <v>PF</v>
      </c>
      <c r="D22" s="96">
        <f>[2]Ricavi!L23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5">
      <c r="A23" s="96"/>
      <c r="B23" s="96" t="str">
        <f>[2]Ricavi!J24</f>
        <v>PF P2</v>
      </c>
      <c r="C23" s="96" t="str">
        <f>[2]Ricavi!K24</f>
        <v>PF</v>
      </c>
      <c r="D23" s="96">
        <f>[2]Ricavi!L24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5">
      <c r="A24" s="96"/>
      <c r="B24" s="96" t="str">
        <f>[2]Ricavi!J25</f>
        <v>PF P3</v>
      </c>
      <c r="C24" s="96" t="str">
        <f>[2]Ricavi!K25</f>
        <v>PF</v>
      </c>
      <c r="D24" s="96">
        <f>[2]Ricavi!L25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5">
      <c r="A25" s="96"/>
      <c r="B25" s="96" t="str">
        <f>[2]Ricavi!J26</f>
        <v>PF P4</v>
      </c>
      <c r="C25" s="96" t="str">
        <f>[2]Ricavi!K26</f>
        <v>PF</v>
      </c>
      <c r="D25" s="96">
        <f>[2]Ricavi!L26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5">
      <c r="A26" s="96"/>
      <c r="B26" s="96" t="str">
        <f>[2]Ricavi!J27</f>
        <v>PF P5</v>
      </c>
      <c r="C26" s="96" t="str">
        <f>[2]Ricavi!K27</f>
        <v>PF</v>
      </c>
      <c r="D26" s="96">
        <f>[2]Ricavi!L27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5">
      <c r="A27" s="96"/>
      <c r="B27" s="96" t="str">
        <f>[2]Ricavi!J28</f>
        <v>PF P6</v>
      </c>
      <c r="C27" s="96" t="str">
        <f>[2]Ricavi!K28</f>
        <v>PF</v>
      </c>
      <c r="D27" s="96">
        <f>[2]Ricavi!L28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5">
      <c r="A28" s="96"/>
      <c r="B28" s="96" t="str">
        <f>[2]Ricavi!J29</f>
        <v>PF P7</v>
      </c>
      <c r="C28" s="96" t="str">
        <f>[2]Ricavi!K29</f>
        <v>PF</v>
      </c>
      <c r="D28" s="96">
        <f>[2]Ricavi!L29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5">
      <c r="A29" s="96"/>
      <c r="B29" s="96" t="str">
        <f>[2]Ricavi!J30</f>
        <v>PF V1</v>
      </c>
      <c r="C29" s="96" t="str">
        <f>[2]Ricavi!K30</f>
        <v>PF</v>
      </c>
      <c r="D29" s="96">
        <f>[2]Ricavi!L30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5">
      <c r="A30" s="96"/>
      <c r="B30" s="96" t="str">
        <f>[2]Ricavi!J31</f>
        <v>PF V2</v>
      </c>
      <c r="C30" s="96" t="str">
        <f>[2]Ricavi!K31</f>
        <v>PF</v>
      </c>
      <c r="D30" s="96">
        <f>[2]Ricavi!L31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5">
      <c r="A31" s="96"/>
      <c r="B31" s="96" t="str">
        <f>[2]Ricavi!J32</f>
        <v>PF V3</v>
      </c>
      <c r="C31" s="96" t="str">
        <f>[2]Ricavi!K32</f>
        <v>PF</v>
      </c>
      <c r="D31" s="96">
        <f>[2]Ricavi!L32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5">
      <c r="A32" s="96"/>
      <c r="B32" s="96" t="str">
        <f>[2]Ricavi!J33</f>
        <v>PF V4</v>
      </c>
      <c r="C32" s="96" t="str">
        <f>[2]Ricavi!K33</f>
        <v>PF</v>
      </c>
      <c r="D32" s="96">
        <f>[2]Ricavi!L33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5">
      <c r="A33" s="96"/>
      <c r="B33" s="96" t="str">
        <f>[2]Ricavi!J34</f>
        <v>PF V5</v>
      </c>
      <c r="C33" s="96" t="str">
        <f>[2]Ricavi!K34</f>
        <v>PF</v>
      </c>
      <c r="D33" s="96">
        <f>[2]Ricavi!L34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5">
      <c r="A34" s="96"/>
      <c r="B34" s="96" t="str">
        <f>[2]Ricavi!J35</f>
        <v>PF V6</v>
      </c>
      <c r="C34" s="96" t="str">
        <f>[2]Ricavi!K35</f>
        <v>PF</v>
      </c>
      <c r="D34" s="96">
        <f>[2]Ricavi!L35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5">
      <c r="A35" s="96"/>
      <c r="B35" s="96" t="str">
        <f>[2]Ricavi!J36</f>
        <v>PF V7</v>
      </c>
      <c r="C35" s="96" t="str">
        <f>[2]Ricavi!K36</f>
        <v>PF</v>
      </c>
      <c r="D35" s="96">
        <f>[2]Ricavi!L36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5">
      <c r="A36" s="96"/>
      <c r="B36" s="96" t="str">
        <f>[2]Ricavi!J37</f>
        <v>PF V8</v>
      </c>
      <c r="C36" s="96" t="str">
        <f>[2]Ricavi!K37</f>
        <v>PF</v>
      </c>
      <c r="D36" s="96">
        <f>[2]Ricavi!L37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5">
      <c r="A37" s="96"/>
      <c r="B37" s="96" t="str">
        <f>[2]Ricavi!J38</f>
        <v>PF V9</v>
      </c>
      <c r="C37" s="96" t="str">
        <f>[2]Ricavi!K38</f>
        <v>PF</v>
      </c>
      <c r="D37" s="96">
        <f>[2]Ricavi!L38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5">
      <c r="A38" s="96"/>
      <c r="B38" s="96" t="str">
        <f>[2]Ricavi!J39</f>
        <v>PF V10</v>
      </c>
      <c r="C38" s="96" t="str">
        <f>[2]Ricavi!K39</f>
        <v>PF</v>
      </c>
      <c r="D38" s="96">
        <f>[2]Ricavi!L39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5">
      <c r="A39" s="96"/>
      <c r="B39" s="96" t="str">
        <f>[2]Ricavi!J40</f>
        <v>PF V11</v>
      </c>
      <c r="C39" s="96" t="str">
        <f>[2]Ricavi!K40</f>
        <v>PF</v>
      </c>
      <c r="D39" s="96">
        <f>[2]Ricavi!L40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5">
      <c r="A40" s="96"/>
      <c r="B40" s="96" t="str">
        <f>[2]Ricavi!J41</f>
        <v>PF V12</v>
      </c>
      <c r="C40" s="96" t="str">
        <f>[2]Ricavi!K41</f>
        <v>PF</v>
      </c>
      <c r="D40" s="96">
        <f>[2]Ricavi!L41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5">
      <c r="A41" s="96"/>
      <c r="B41" s="96" t="str">
        <f>[2]Ricavi!J42</f>
        <v>PF V13</v>
      </c>
      <c r="C41" s="96" t="str">
        <f>[2]Ricavi!K42</f>
        <v>PF</v>
      </c>
      <c r="D41" s="96">
        <f>[2]Ricavi!L42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5">
      <c r="A42" s="96"/>
      <c r="B42" s="96" t="str">
        <f>[2]Ricavi!J43</f>
        <v>PF V14</v>
      </c>
      <c r="C42" s="96" t="str">
        <f>[2]Ricavi!K43</f>
        <v>PF</v>
      </c>
      <c r="D42" s="96">
        <f>[2]Ricavi!L43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5">
      <c r="A43" s="96"/>
      <c r="B43" s="96" t="str">
        <f>[2]Ricavi!J44</f>
        <v>PF V15</v>
      </c>
      <c r="C43" s="96" t="str">
        <f>[2]Ricavi!K44</f>
        <v>PF</v>
      </c>
      <c r="D43" s="96">
        <f>[2]Ricavi!L44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5">
      <c r="A44" s="96"/>
      <c r="B44" s="96" t="str">
        <f>[2]Ricavi!J45</f>
        <v>PF V16</v>
      </c>
      <c r="C44" s="96" t="str">
        <f>[2]Ricavi!K45</f>
        <v>PF</v>
      </c>
      <c r="D44" s="96">
        <f>[2]Ricavi!L45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5">
      <c r="A45" s="96"/>
      <c r="B45" s="96" t="str">
        <f>[2]Ricavi!J46</f>
        <v>PF A1</v>
      </c>
      <c r="C45" s="96" t="str">
        <f>[2]Ricavi!K46</f>
        <v>PF</v>
      </c>
      <c r="D45" s="96">
        <f>[2]Ricavi!L46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5">
      <c r="A46" s="96"/>
      <c r="B46" s="96" t="str">
        <f>[2]Ricavi!J47</f>
        <v>PF A2</v>
      </c>
      <c r="C46" s="96" t="str">
        <f>[2]Ricavi!K47</f>
        <v>PF</v>
      </c>
      <c r="D46" s="96">
        <f>[2]Ricavi!L47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5">
      <c r="A47" s="96"/>
      <c r="B47" s="96" t="str">
        <f>[2]Ricavi!J48</f>
        <v>PF A3</v>
      </c>
      <c r="C47" s="96" t="str">
        <f>[2]Ricavi!K48</f>
        <v>PF</v>
      </c>
      <c r="D47" s="96">
        <f>[2]Ricavi!L48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5">
      <c r="A48" s="96"/>
      <c r="B48" s="96" t="str">
        <f>[2]Ricavi!J49</f>
        <v>PF A4</v>
      </c>
      <c r="C48" s="96" t="str">
        <f>[2]Ricavi!K49</f>
        <v>PF</v>
      </c>
      <c r="D48" s="96">
        <f>[2]Ricavi!L49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5">
      <c r="A49" s="96"/>
      <c r="B49" s="96" t="str">
        <f>[2]Ricavi!J50</f>
        <v>PF A5</v>
      </c>
      <c r="C49" s="96" t="str">
        <f>[2]Ricavi!K50</f>
        <v>PF</v>
      </c>
      <c r="D49" s="96">
        <f>[2]Ricavi!L50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5">
      <c r="A50" s="96"/>
      <c r="B50" s="96" t="str">
        <f>[2]Ricavi!J51</f>
        <v>PF A6</v>
      </c>
      <c r="C50" s="96" t="str">
        <f>[2]Ricavi!K51</f>
        <v>PF</v>
      </c>
      <c r="D50" s="96">
        <f>[2]Ricavi!L51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5">
      <c r="A51" s="96"/>
      <c r="B51" s="96" t="str">
        <f>[2]Ricavi!J52</f>
        <v>PF A7</v>
      </c>
      <c r="C51" s="96" t="str">
        <f>[2]Ricavi!K52</f>
        <v>PF</v>
      </c>
      <c r="D51" s="96">
        <f>[2]Ricavi!L52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5">
      <c r="A52" s="96"/>
      <c r="B52" s="96" t="str">
        <f>[2]Ricavi!J53</f>
        <v>PF A8</v>
      </c>
      <c r="C52" s="96" t="str">
        <f>[2]Ricavi!K53</f>
        <v>PF</v>
      </c>
      <c r="D52" s="96">
        <f>[2]Ricavi!L53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5">
      <c r="A53" s="96"/>
      <c r="B53" s="96" t="str">
        <f>[2]Ricavi!J54</f>
        <v>PF A9</v>
      </c>
      <c r="C53" s="96" t="str">
        <f>[2]Ricavi!K54</f>
        <v>PF</v>
      </c>
      <c r="D53" s="96">
        <f>[2]Ricavi!L54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5">
      <c r="A54" s="96"/>
      <c r="B54" s="96" t="str">
        <f>[2]Ricavi!J55</f>
        <v>PF A10</v>
      </c>
      <c r="C54" s="96" t="str">
        <f>[2]Ricavi!K55</f>
        <v>PF</v>
      </c>
      <c r="D54" s="96">
        <f>[2]Ricavi!L55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15" t="s">
        <v>296</v>
      </c>
    </row>
    <row r="55" spans="1:11" x14ac:dyDescent="0.35">
      <c r="A55" s="96"/>
      <c r="B55" s="96" t="str">
        <f>[2]Ricavi!J56</f>
        <v>PF A11</v>
      </c>
      <c r="C55" s="96" t="str">
        <f>[2]Ricavi!K56</f>
        <v>PF</v>
      </c>
      <c r="D55" s="96">
        <f>[2]Ricavi!L56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16">
        <f>SUMIF($C$3:$C$63,"PF",$G$3:$G$63)</f>
        <v>68358549.018526509</v>
      </c>
    </row>
    <row r="56" spans="1:11" x14ac:dyDescent="0.35">
      <c r="A56" s="96"/>
      <c r="B56" s="96" t="str">
        <f>[2]Ricavi!J57</f>
        <v>PF A12</v>
      </c>
      <c r="C56" s="96" t="str">
        <f>[2]Ricavi!K57</f>
        <v>PF</v>
      </c>
      <c r="D56" s="96">
        <f>[2]Ricavi!L57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15" t="s">
        <v>297</v>
      </c>
    </row>
    <row r="57" spans="1:11" x14ac:dyDescent="0.35">
      <c r="A57" s="96"/>
      <c r="B57" s="96" t="str">
        <f>[2]Ricavi!J58</f>
        <v>PF A13</v>
      </c>
      <c r="C57" s="96" t="str">
        <f>[2]Ricavi!K58</f>
        <v>PF</v>
      </c>
      <c r="D57" s="96">
        <f>[2]Ricavi!L58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16">
        <f>SUMIF($C$3:$C$63,"MP",$G$3:$G$63)</f>
        <v>196584.24189999999</v>
      </c>
    </row>
    <row r="58" spans="1:11" x14ac:dyDescent="0.35">
      <c r="A58" s="96"/>
      <c r="B58" s="96" t="str">
        <f>[2]Ricavi!J59</f>
        <v>PF A14</v>
      </c>
      <c r="C58" s="96" t="str">
        <f>[2]Ricavi!K59</f>
        <v>PF</v>
      </c>
      <c r="D58" s="96">
        <f>[2]Ricavi!L59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15" t="s">
        <v>298</v>
      </c>
    </row>
    <row r="59" spans="1:11" x14ac:dyDescent="0.35">
      <c r="A59" s="96"/>
      <c r="B59" s="96" t="str">
        <f>[2]Ricavi!J60</f>
        <v>PF A15</v>
      </c>
      <c r="C59" s="96" t="str">
        <f>[2]Ricavi!K60</f>
        <v>PF</v>
      </c>
      <c r="D59" s="96">
        <f>[2]Ricavi!L60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16">
        <f>SUMIF($C$3:$C$63,"PCL",$G$3:$G$63)</f>
        <v>2489618.9618799998</v>
      </c>
    </row>
    <row r="60" spans="1:11" x14ac:dyDescent="0.35">
      <c r="A60" s="96"/>
      <c r="B60" s="96" t="str">
        <f>[2]Ricavi!J61</f>
        <v>PF A16</v>
      </c>
      <c r="C60" s="96" t="str">
        <f>[2]Ricavi!K61</f>
        <v>PF</v>
      </c>
      <c r="D60" s="96">
        <f>[2]Ricavi!L61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5">
      <c r="A61" s="96"/>
      <c r="B61" s="96" t="str">
        <f>[2]Ricavi!J62</f>
        <v>PF A17</v>
      </c>
      <c r="C61" s="96" t="str">
        <f>[2]Ricavi!K62</f>
        <v>PF</v>
      </c>
      <c r="D61" s="96">
        <f>[2]Ricavi!L62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5">
      <c r="A62" s="96"/>
      <c r="B62" s="96" t="str">
        <f>[2]Ricavi!J63</f>
        <v>PF A18</v>
      </c>
      <c r="C62" s="96" t="str">
        <f>[2]Ricavi!K63</f>
        <v>PF</v>
      </c>
      <c r="D62" s="96">
        <f>[2]Ricavi!L63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5">
      <c r="A63" s="96"/>
      <c r="B63" s="96" t="str">
        <f>[2]Ricavi!J64</f>
        <v>PF A19</v>
      </c>
      <c r="C63" s="96" t="str">
        <f>[2]Ricavi!K64</f>
        <v>PF</v>
      </c>
      <c r="D63" s="96">
        <f>[2]Ricavi!L64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5">
      <c r="A64" s="96"/>
      <c r="B64" s="96" t="str">
        <f>[2]Ricavi!J65</f>
        <v>Spese trasporto</v>
      </c>
      <c r="C64" s="96" t="str">
        <f>[2]Ricavi!K65</f>
        <v>Others</v>
      </c>
      <c r="D64" s="96">
        <f>[2]Ricavi!L65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5">
      <c r="A65" s="96"/>
      <c r="B65" s="96" t="str">
        <f>[2]Ricavi!J66</f>
        <v>Premio Year22</v>
      </c>
      <c r="C65" s="96" t="str">
        <f>[2]Ricavi!K66</f>
        <v>Others</v>
      </c>
      <c r="D65" s="96">
        <f>[2]Ricavi!L66</f>
        <v>12</v>
      </c>
      <c r="E65" s="96">
        <f>[2]Ricavi!M66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5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B4" zoomScale="85" zoomScaleNormal="85" workbookViewId="0">
      <selection activeCell="B30" sqref="B30"/>
    </sheetView>
  </sheetViews>
  <sheetFormatPr defaultColWidth="9.26953125" defaultRowHeight="14.5" x14ac:dyDescent="0.35"/>
  <cols>
    <col min="1" max="1" width="2.81640625" style="3" customWidth="1"/>
    <col min="2" max="2" width="62.26953125" style="8" customWidth="1"/>
    <col min="3" max="3" width="23.54296875" style="3" bestFit="1" customWidth="1"/>
    <col min="4" max="14" width="10.54296875" style="3" customWidth="1"/>
    <col min="15" max="15" width="12.453125" style="3" bestFit="1" customWidth="1"/>
    <col min="16" max="16" width="11.54296875" style="3" customWidth="1"/>
    <col min="17" max="16384" width="9.26953125" style="3"/>
  </cols>
  <sheetData>
    <row r="1" spans="2:16" ht="15.65" customHeight="1" thickBot="1" x14ac:dyDescent="0.4"/>
    <row r="2" spans="2:16" ht="15" thickBot="1" x14ac:dyDescent="0.4">
      <c r="B2" s="112" t="s">
        <v>134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4"/>
    </row>
    <row r="3" spans="2:16" x14ac:dyDescent="0.3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6.5" x14ac:dyDescent="0.3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5">
      <c r="B14" s="21"/>
      <c r="O14" s="23"/>
    </row>
    <row r="15" spans="2:16" x14ac:dyDescent="0.35">
      <c r="B15" s="21" t="s">
        <v>165</v>
      </c>
      <c r="O15" s="23"/>
    </row>
    <row r="16" spans="2:16" x14ac:dyDescent="0.35">
      <c r="B16" s="14" t="s">
        <v>183</v>
      </c>
      <c r="O16" s="23"/>
    </row>
    <row r="17" spans="2:16" x14ac:dyDescent="0.35">
      <c r="B17" s="21" t="s">
        <v>174</v>
      </c>
      <c r="O17" s="23"/>
      <c r="P17" s="3" t="s">
        <v>185</v>
      </c>
    </row>
    <row r="18" spans="2:16" x14ac:dyDescent="0.35">
      <c r="B18" s="21" t="s">
        <v>166</v>
      </c>
      <c r="O18" s="23"/>
    </row>
    <row r="19" spans="2:16" x14ac:dyDescent="0.35">
      <c r="B19" s="21" t="s">
        <v>182</v>
      </c>
      <c r="O19" s="23"/>
    </row>
    <row r="20" spans="2:16" x14ac:dyDescent="0.35">
      <c r="B20" s="21" t="s">
        <v>181</v>
      </c>
      <c r="O20" s="23"/>
    </row>
    <row r="21" spans="2:16" x14ac:dyDescent="0.35">
      <c r="B21" s="21"/>
      <c r="O21" s="23"/>
    </row>
    <row r="22" spans="2:16" x14ac:dyDescent="0.35">
      <c r="B22" s="12" t="s">
        <v>75</v>
      </c>
      <c r="O22" s="23"/>
    </row>
    <row r="23" spans="2:16" x14ac:dyDescent="0.35">
      <c r="B23" s="21" t="s">
        <v>171</v>
      </c>
      <c r="O23" s="23"/>
    </row>
    <row r="24" spans="2:16" x14ac:dyDescent="0.35">
      <c r="B24" s="21"/>
      <c r="O24" s="23"/>
    </row>
    <row r="25" spans="2:16" x14ac:dyDescent="0.35">
      <c r="B25" s="12" t="s">
        <v>76</v>
      </c>
      <c r="O25" s="23"/>
    </row>
    <row r="26" spans="2:16" x14ac:dyDescent="0.35">
      <c r="B26" s="21" t="s">
        <v>175</v>
      </c>
      <c r="O26" s="23"/>
    </row>
    <row r="27" spans="2:16" x14ac:dyDescent="0.35">
      <c r="B27" s="21"/>
      <c r="O27" s="23"/>
    </row>
    <row r="28" spans="2:16" x14ac:dyDescent="0.35">
      <c r="B28" s="12" t="s">
        <v>122</v>
      </c>
      <c r="O28" s="23"/>
    </row>
    <row r="29" spans="2:16" x14ac:dyDescent="0.35">
      <c r="B29" s="21" t="s">
        <v>161</v>
      </c>
      <c r="O29" s="23"/>
    </row>
    <row r="30" spans="2:16" x14ac:dyDescent="0.35">
      <c r="B30" s="21" t="s">
        <v>173</v>
      </c>
      <c r="O30" s="23"/>
    </row>
    <row r="31" spans="2:16" x14ac:dyDescent="0.35">
      <c r="B31" s="21" t="s">
        <v>123</v>
      </c>
      <c r="O31" s="23"/>
    </row>
    <row r="32" spans="2:16" x14ac:dyDescent="0.35">
      <c r="B32" s="21"/>
      <c r="O32" s="23"/>
    </row>
    <row r="33" spans="2:15" x14ac:dyDescent="0.35">
      <c r="B33" s="12" t="s">
        <v>121</v>
      </c>
      <c r="O33" s="23"/>
    </row>
    <row r="34" spans="2:15" ht="15" thickBot="1" x14ac:dyDescent="0.4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zoomScale="60" zoomScaleNormal="60" workbookViewId="0">
      <selection activeCell="H4" sqref="H4"/>
    </sheetView>
  </sheetViews>
  <sheetFormatPr defaultRowHeight="14.5" x14ac:dyDescent="0.35"/>
  <cols>
    <col min="2" max="2" width="34.1796875" bestFit="1" customWidth="1"/>
    <col min="3" max="3" width="13.08984375" bestFit="1" customWidth="1"/>
    <col min="4" max="5" width="12.7265625" bestFit="1" customWidth="1"/>
    <col min="6" max="6" width="26.1796875" bestFit="1" customWidth="1"/>
    <col min="7" max="7" width="20.54296875" bestFit="1" customWidth="1"/>
    <col min="8" max="8" width="18.2695312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</f>
        <v>15619.501552906979</v>
      </c>
      <c r="I4" s="119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</f>
        <v>4137.7919767441863</v>
      </c>
      <c r="I5" s="119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</f>
        <v>12069.871618604651</v>
      </c>
      <c r="I6" s="119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17175.344630598418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 xml:space="preserve"> ( I4+I5+I6 ) * C17</f>
        <v>827945.29363206238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96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4352628.1362503897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17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118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19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8" sqref="B8"/>
    </sheetView>
  </sheetViews>
  <sheetFormatPr defaultColWidth="8.81640625" defaultRowHeight="14.5" x14ac:dyDescent="0.35"/>
  <cols>
    <col min="1" max="1" width="2.7265625" style="1" customWidth="1"/>
    <col min="2" max="2" width="123.26953125" style="1" bestFit="1" customWidth="1"/>
    <col min="3" max="16384" width="8.81640625" style="1"/>
  </cols>
  <sheetData>
    <row r="1" spans="2:2" ht="15" thickBot="1" x14ac:dyDescent="0.4"/>
    <row r="2" spans="2:2" ht="15" thickBot="1" x14ac:dyDescent="0.4">
      <c r="B2" s="41" t="s">
        <v>135</v>
      </c>
    </row>
    <row r="3" spans="2:2" x14ac:dyDescent="0.35">
      <c r="B3" s="76" t="s">
        <v>82</v>
      </c>
    </row>
    <row r="4" spans="2:2" x14ac:dyDescent="0.35">
      <c r="B4" s="33" t="s">
        <v>168</v>
      </c>
    </row>
    <row r="5" spans="2:2" x14ac:dyDescent="0.35">
      <c r="B5" s="33"/>
    </row>
    <row r="6" spans="2:2" x14ac:dyDescent="0.35">
      <c r="B6" s="76" t="s">
        <v>83</v>
      </c>
    </row>
    <row r="7" spans="2:2" x14ac:dyDescent="0.35">
      <c r="B7" s="33" t="s">
        <v>126</v>
      </c>
    </row>
    <row r="8" spans="2:2" x14ac:dyDescent="0.35">
      <c r="B8" s="33"/>
    </row>
    <row r="9" spans="2:2" x14ac:dyDescent="0.35">
      <c r="B9" s="76" t="s">
        <v>84</v>
      </c>
    </row>
    <row r="10" spans="2:2" x14ac:dyDescent="0.35">
      <c r="B10" s="32" t="s">
        <v>128</v>
      </c>
    </row>
    <row r="11" spans="2:2" x14ac:dyDescent="0.35">
      <c r="B11" s="32"/>
    </row>
    <row r="12" spans="2:2" x14ac:dyDescent="0.35">
      <c r="B12" s="76" t="s">
        <v>85</v>
      </c>
    </row>
    <row r="13" spans="2:2" x14ac:dyDescent="0.35">
      <c r="B13" s="32" t="s">
        <v>128</v>
      </c>
    </row>
    <row r="14" spans="2:2" x14ac:dyDescent="0.35">
      <c r="B14" s="33"/>
    </row>
    <row r="15" spans="2:2" x14ac:dyDescent="0.35">
      <c r="B15" s="76" t="s">
        <v>86</v>
      </c>
    </row>
    <row r="16" spans="2:2" x14ac:dyDescent="0.35">
      <c r="B16" s="32" t="s">
        <v>128</v>
      </c>
    </row>
    <row r="17" spans="2:2" x14ac:dyDescent="0.35">
      <c r="B17" s="33"/>
    </row>
    <row r="18" spans="2:2" x14ac:dyDescent="0.35">
      <c r="B18" s="76" t="s">
        <v>87</v>
      </c>
    </row>
    <row r="19" spans="2:2" x14ac:dyDescent="0.35">
      <c r="B19" s="32" t="s">
        <v>128</v>
      </c>
    </row>
    <row r="20" spans="2:2" x14ac:dyDescent="0.35">
      <c r="B20" s="77"/>
    </row>
    <row r="21" spans="2:2" x14ac:dyDescent="0.35">
      <c r="B21" s="76" t="s">
        <v>89</v>
      </c>
    </row>
    <row r="22" spans="2:2" x14ac:dyDescent="0.35">
      <c r="B22" s="32" t="s">
        <v>128</v>
      </c>
    </row>
    <row r="23" spans="2:2" x14ac:dyDescent="0.35">
      <c r="B23" s="33"/>
    </row>
    <row r="24" spans="2:2" x14ac:dyDescent="0.35">
      <c r="B24" s="76" t="s">
        <v>90</v>
      </c>
    </row>
    <row r="25" spans="2:2" x14ac:dyDescent="0.35">
      <c r="B25" s="32" t="s">
        <v>128</v>
      </c>
    </row>
    <row r="26" spans="2:2" x14ac:dyDescent="0.35">
      <c r="B26" s="33"/>
    </row>
    <row r="27" spans="2:2" x14ac:dyDescent="0.35">
      <c r="B27" s="76" t="s">
        <v>91</v>
      </c>
    </row>
    <row r="28" spans="2:2" ht="15" thickBot="1" x14ac:dyDescent="0.4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zoomScale="60" zoomScaleNormal="60" workbookViewId="0">
      <selection activeCell="C27" sqref="C27"/>
    </sheetView>
  </sheetViews>
  <sheetFormatPr defaultRowHeight="14.5" x14ac:dyDescent="0.35"/>
  <cols>
    <col min="2" max="2" width="41.7265625" bestFit="1" customWidth="1"/>
    <col min="3" max="3" width="11.7265625" bestFit="1" customWidth="1"/>
    <col min="4" max="4" width="54.54296875" bestFit="1" customWidth="1"/>
    <col min="6" max="6" width="9.1796875" customWidth="1"/>
  </cols>
  <sheetData>
    <row r="2" spans="2:4" x14ac:dyDescent="0.35">
      <c r="D2" t="s">
        <v>198</v>
      </c>
    </row>
    <row r="3" spans="2:4" x14ac:dyDescent="0.35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5">
      <c r="C4" s="96"/>
    </row>
    <row r="5" spans="2:4" x14ac:dyDescent="0.35">
      <c r="B5" t="s">
        <v>238</v>
      </c>
      <c r="C5" s="96">
        <f>-'CE 21-22'!F23-150000</f>
        <v>1050000</v>
      </c>
    </row>
    <row r="6" spans="2:4" x14ac:dyDescent="0.35">
      <c r="C6" s="96"/>
    </row>
    <row r="7" spans="2:4" x14ac:dyDescent="0.35">
      <c r="B7" t="s">
        <v>239</v>
      </c>
      <c r="C7" s="96">
        <f>-'CE 21-22'!F24*1.025</f>
        <v>307500</v>
      </c>
    </row>
    <row r="8" spans="2:4" x14ac:dyDescent="0.35">
      <c r="C8" s="96"/>
    </row>
    <row r="9" spans="2:4" x14ac:dyDescent="0.35">
      <c r="B9" t="s">
        <v>240</v>
      </c>
      <c r="C9" s="96">
        <f>-'CE 21-22'!F25*1.025</f>
        <v>151700</v>
      </c>
    </row>
    <row r="10" spans="2:4" x14ac:dyDescent="0.35">
      <c r="C10" s="96"/>
    </row>
    <row r="11" spans="2:4" x14ac:dyDescent="0.35">
      <c r="B11" t="s">
        <v>241</v>
      </c>
      <c r="C11" s="96">
        <f>-'CE 21-22'!F26*1.025</f>
        <v>309550</v>
      </c>
    </row>
    <row r="12" spans="2:4" x14ac:dyDescent="0.35">
      <c r="C12" s="96"/>
    </row>
    <row r="13" spans="2:4" x14ac:dyDescent="0.35">
      <c r="B13" t="s">
        <v>242</v>
      </c>
      <c r="C13" s="96">
        <f>-'CE 21-22'!F27*1.025</f>
        <v>212174.99999999997</v>
      </c>
    </row>
    <row r="14" spans="2:4" x14ac:dyDescent="0.35">
      <c r="C14" s="96"/>
    </row>
    <row r="15" spans="2:4" x14ac:dyDescent="0.35">
      <c r="B15" s="93" t="s">
        <v>246</v>
      </c>
      <c r="C15" s="97">
        <f>SUM(C13+C11+C9+C7+C5+C3)</f>
        <v>7625710.9100000001</v>
      </c>
    </row>
    <row r="16" spans="2:4" x14ac:dyDescent="0.35">
      <c r="C16" s="96"/>
    </row>
    <row r="17" spans="2:3" x14ac:dyDescent="0.35">
      <c r="C17" s="96"/>
    </row>
    <row r="18" spans="2:3" x14ac:dyDescent="0.35">
      <c r="B18" t="s">
        <v>243</v>
      </c>
      <c r="C18" s="96">
        <f>-'CE 21-22'!F29*1.025</f>
        <v>563750</v>
      </c>
    </row>
    <row r="19" spans="2:3" x14ac:dyDescent="0.35">
      <c r="C19" s="96"/>
    </row>
    <row r="20" spans="2:3" x14ac:dyDescent="0.35">
      <c r="B20" s="94" t="s">
        <v>244</v>
      </c>
      <c r="C20" s="96">
        <f>-'CE 21-22'!F30*1.025</f>
        <v>307500</v>
      </c>
    </row>
    <row r="21" spans="2:3" x14ac:dyDescent="0.35">
      <c r="C21" s="96"/>
    </row>
    <row r="22" spans="2:3" x14ac:dyDescent="0.35">
      <c r="B22" t="s">
        <v>245</v>
      </c>
      <c r="C22" s="96">
        <f>-'CE 21-22'!F31*1.025</f>
        <v>102499.99999999999</v>
      </c>
    </row>
    <row r="23" spans="2:3" x14ac:dyDescent="0.35">
      <c r="C23" s="96"/>
    </row>
    <row r="24" spans="2:3" x14ac:dyDescent="0.35">
      <c r="B24" s="93" t="s">
        <v>247</v>
      </c>
      <c r="C24" s="97">
        <f>SUM(C18+C20+C22)</f>
        <v>973750</v>
      </c>
    </row>
    <row r="25" spans="2:3" x14ac:dyDescent="0.35">
      <c r="C25" s="96"/>
    </row>
    <row r="26" spans="2:3" x14ac:dyDescent="0.35">
      <c r="C26" s="96"/>
    </row>
    <row r="27" spans="2:3" x14ac:dyDescent="0.35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13" sqref="B13"/>
    </sheetView>
  </sheetViews>
  <sheetFormatPr defaultColWidth="8.81640625" defaultRowHeight="14.5" x14ac:dyDescent="0.35"/>
  <cols>
    <col min="1" max="1" width="2.81640625" style="1" customWidth="1"/>
    <col min="2" max="2" width="70.453125" style="1" bestFit="1" customWidth="1"/>
    <col min="3" max="16384" width="8.81640625" style="1"/>
  </cols>
  <sheetData>
    <row r="1" spans="2:9" ht="15" thickBot="1" x14ac:dyDescent="0.4"/>
    <row r="2" spans="2:9" ht="15" thickBot="1" x14ac:dyDescent="0.4">
      <c r="B2" s="41" t="s">
        <v>136</v>
      </c>
    </row>
    <row r="3" spans="2:9" x14ac:dyDescent="0.35">
      <c r="B3" s="31" t="s">
        <v>94</v>
      </c>
    </row>
    <row r="4" spans="2:9" x14ac:dyDescent="0.35">
      <c r="B4" s="95" t="s">
        <v>176</v>
      </c>
      <c r="C4" s="1" t="s">
        <v>186</v>
      </c>
    </row>
    <row r="5" spans="2:9" x14ac:dyDescent="0.35">
      <c r="B5" s="32"/>
      <c r="C5" s="1" t="s">
        <v>187</v>
      </c>
    </row>
    <row r="6" spans="2:9" x14ac:dyDescent="0.35">
      <c r="B6" s="31" t="s">
        <v>95</v>
      </c>
      <c r="C6" s="1" t="s">
        <v>188</v>
      </c>
    </row>
    <row r="7" spans="2:9" x14ac:dyDescent="0.35">
      <c r="B7" s="32" t="s">
        <v>127</v>
      </c>
    </row>
    <row r="8" spans="2:9" x14ac:dyDescent="0.35">
      <c r="B8" s="32"/>
    </row>
    <row r="9" spans="2:9" x14ac:dyDescent="0.35">
      <c r="B9" s="31" t="s">
        <v>96</v>
      </c>
    </row>
    <row r="10" spans="2:9" x14ac:dyDescent="0.35">
      <c r="B10" s="33" t="s">
        <v>130</v>
      </c>
    </row>
    <row r="11" spans="2:9" x14ac:dyDescent="0.35">
      <c r="B11" s="33"/>
    </row>
    <row r="12" spans="2:9" x14ac:dyDescent="0.35">
      <c r="B12" s="31" t="s">
        <v>99</v>
      </c>
    </row>
    <row r="13" spans="2:9" x14ac:dyDescent="0.35">
      <c r="B13" s="32" t="s">
        <v>160</v>
      </c>
      <c r="C13" s="1" t="s">
        <v>189</v>
      </c>
      <c r="I13" s="1" t="s">
        <v>190</v>
      </c>
    </row>
    <row r="14" spans="2:9" x14ac:dyDescent="0.35">
      <c r="B14" s="32"/>
    </row>
    <row r="15" spans="2:9" x14ac:dyDescent="0.35">
      <c r="B15" s="31" t="s">
        <v>100</v>
      </c>
    </row>
    <row r="16" spans="2:9" x14ac:dyDescent="0.35">
      <c r="B16" s="32" t="s">
        <v>131</v>
      </c>
    </row>
    <row r="17" spans="2:2" x14ac:dyDescent="0.35">
      <c r="B17" s="32"/>
    </row>
    <row r="18" spans="2:2" x14ac:dyDescent="0.35">
      <c r="B18" s="31" t="s">
        <v>103</v>
      </c>
    </row>
    <row r="19" spans="2:2" x14ac:dyDescent="0.35">
      <c r="B19" s="32" t="s">
        <v>132</v>
      </c>
    </row>
    <row r="20" spans="2:2" x14ac:dyDescent="0.35">
      <c r="B20" s="32"/>
    </row>
    <row r="21" spans="2:2" x14ac:dyDescent="0.35">
      <c r="B21" s="31" t="s">
        <v>104</v>
      </c>
    </row>
    <row r="22" spans="2:2" x14ac:dyDescent="0.35">
      <c r="B22" s="32" t="s">
        <v>133</v>
      </c>
    </row>
    <row r="23" spans="2:2" x14ac:dyDescent="0.35">
      <c r="B23" s="32"/>
    </row>
    <row r="24" spans="2:2" x14ac:dyDescent="0.35">
      <c r="B24" s="31" t="s">
        <v>105</v>
      </c>
    </row>
    <row r="25" spans="2:2" x14ac:dyDescent="0.35">
      <c r="B25" s="33" t="s">
        <v>129</v>
      </c>
    </row>
    <row r="26" spans="2:2" x14ac:dyDescent="0.35">
      <c r="B26" s="33"/>
    </row>
    <row r="27" spans="2:2" x14ac:dyDescent="0.35">
      <c r="B27" s="31" t="s">
        <v>108</v>
      </c>
    </row>
    <row r="28" spans="2:2" ht="15" thickBot="1" x14ac:dyDescent="0.4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topLeftCell="A4" zoomScale="60" zoomScaleNormal="60" workbookViewId="0">
      <selection activeCell="C19" sqref="C19"/>
    </sheetView>
  </sheetViews>
  <sheetFormatPr defaultRowHeight="14.5" x14ac:dyDescent="0.35"/>
  <cols>
    <col min="2" max="2" width="41.7265625" bestFit="1" customWidth="1"/>
    <col min="3" max="3" width="12.7265625" bestFit="1" customWidth="1"/>
    <col min="4" max="4" width="75.453125" bestFit="1" customWidth="1"/>
    <col min="5" max="5" width="34" customWidth="1"/>
  </cols>
  <sheetData>
    <row r="1" spans="1:4" x14ac:dyDescent="0.35">
      <c r="A1" s="96"/>
      <c r="B1" s="96"/>
      <c r="C1" s="96"/>
      <c r="D1" s="96"/>
    </row>
    <row r="2" spans="1:4" x14ac:dyDescent="0.35">
      <c r="A2" s="96"/>
      <c r="B2" s="96"/>
      <c r="C2" s="96"/>
      <c r="D2" s="96" t="s">
        <v>253</v>
      </c>
    </row>
    <row r="3" spans="1:4" x14ac:dyDescent="0.35">
      <c r="A3" s="96"/>
      <c r="B3" s="96" t="s">
        <v>254</v>
      </c>
      <c r="C3" s="96">
        <f>-'CE 21-22'!F34</f>
        <v>200000</v>
      </c>
      <c r="D3" s="96"/>
    </row>
    <row r="4" spans="1:4" x14ac:dyDescent="0.35">
      <c r="A4" s="96"/>
      <c r="B4" s="96"/>
      <c r="C4" s="96"/>
      <c r="D4" s="96"/>
    </row>
    <row r="5" spans="1:4" x14ac:dyDescent="0.35">
      <c r="A5" s="96"/>
      <c r="B5" s="96" t="s">
        <v>255</v>
      </c>
      <c r="C5" s="96">
        <f>-'CE 21-22'!F35 +C23*C24</f>
        <v>796875</v>
      </c>
      <c r="D5" s="96"/>
    </row>
    <row r="6" spans="1:4" x14ac:dyDescent="0.35">
      <c r="A6" s="96"/>
      <c r="B6" s="96"/>
      <c r="C6" s="96"/>
      <c r="D6" s="96"/>
    </row>
    <row r="7" spans="1:4" x14ac:dyDescent="0.35">
      <c r="A7" s="96"/>
      <c r="B7" s="96" t="s">
        <v>256</v>
      </c>
      <c r="C7" s="96">
        <v>0</v>
      </c>
      <c r="D7" s="96"/>
    </row>
    <row r="8" spans="1:4" x14ac:dyDescent="0.35">
      <c r="A8" s="96"/>
      <c r="B8" s="96"/>
      <c r="C8" s="96"/>
      <c r="D8" s="96"/>
    </row>
    <row r="9" spans="1:4" x14ac:dyDescent="0.35">
      <c r="A9" s="96"/>
      <c r="B9" s="96" t="s">
        <v>257</v>
      </c>
      <c r="C9" s="96">
        <f>-'CE 21-22'!C39+(3000000*0.05*7/12)</f>
        <v>227633.03999999998</v>
      </c>
      <c r="D9" s="96"/>
    </row>
    <row r="10" spans="1:4" x14ac:dyDescent="0.35">
      <c r="A10" s="96"/>
      <c r="B10" s="96"/>
      <c r="C10" s="96"/>
      <c r="D10" s="96"/>
    </row>
    <row r="11" spans="1:4" x14ac:dyDescent="0.35">
      <c r="A11" s="96"/>
      <c r="B11" s="96" t="s">
        <v>258</v>
      </c>
      <c r="C11" s="96">
        <v>0</v>
      </c>
      <c r="D11" s="96"/>
    </row>
    <row r="12" spans="1:4" x14ac:dyDescent="0.35">
      <c r="A12" s="96"/>
      <c r="B12" s="96"/>
      <c r="C12" s="96"/>
      <c r="D12" s="96"/>
    </row>
    <row r="13" spans="1:4" x14ac:dyDescent="0.35">
      <c r="A13" s="96"/>
      <c r="B13" s="96" t="s">
        <v>259</v>
      </c>
      <c r="C13" s="96">
        <v>0</v>
      </c>
      <c r="D13" s="96"/>
    </row>
    <row r="14" spans="1:4" x14ac:dyDescent="0.35">
      <c r="A14" s="96"/>
      <c r="B14" s="96"/>
      <c r="C14" s="96"/>
      <c r="D14" s="96"/>
    </row>
    <row r="15" spans="1:4" x14ac:dyDescent="0.35">
      <c r="A15" s="96"/>
      <c r="B15" s="96" t="s">
        <v>260</v>
      </c>
      <c r="C15" s="96">
        <v>0</v>
      </c>
      <c r="D15" s="96"/>
    </row>
    <row r="16" spans="1:4" x14ac:dyDescent="0.35">
      <c r="A16" s="96"/>
      <c r="B16" s="96"/>
      <c r="C16" s="96"/>
      <c r="D16" s="96"/>
    </row>
    <row r="17" spans="1:4" x14ac:dyDescent="0.35">
      <c r="A17" s="96"/>
      <c r="B17" s="96" t="s">
        <v>261</v>
      </c>
      <c r="C17" s="96">
        <v>0</v>
      </c>
      <c r="D17" s="96"/>
    </row>
    <row r="18" spans="1:4" x14ac:dyDescent="0.35">
      <c r="A18" s="96"/>
      <c r="B18" s="96"/>
      <c r="C18" s="96"/>
      <c r="D18" s="96"/>
    </row>
    <row r="19" spans="1:4" x14ac:dyDescent="0.35">
      <c r="A19" s="96"/>
      <c r="B19" s="96" t="s">
        <v>262</v>
      </c>
      <c r="C19" s="96">
        <f>'CE Budget 2022'!C47*0.3</f>
        <v>1418278.2718686431</v>
      </c>
      <c r="D19" s="96" t="s">
        <v>263</v>
      </c>
    </row>
    <row r="23" spans="1:4" x14ac:dyDescent="0.35">
      <c r="B23" t="s">
        <v>277</v>
      </c>
      <c r="C23">
        <v>750000</v>
      </c>
    </row>
    <row r="24" spans="1:4" x14ac:dyDescent="0.35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49"/>
  <sheetViews>
    <sheetView topLeftCell="A52" workbookViewId="0">
      <selection activeCell="D15" sqref="D15"/>
    </sheetView>
  </sheetViews>
  <sheetFormatPr defaultRowHeight="14.5" x14ac:dyDescent="0.35"/>
  <cols>
    <col min="2" max="2" width="39.1796875" bestFit="1" customWidth="1"/>
    <col min="3" max="3" width="12.7265625" bestFit="1" customWidth="1"/>
    <col min="5" max="5" width="49.54296875" bestFit="1" customWidth="1"/>
    <col min="6" max="6" width="12.7265625" bestFit="1" customWidth="1"/>
    <col min="7" max="7" width="59.7265625" bestFit="1" customWidth="1"/>
    <col min="8" max="8" width="12.7265625" bestFit="1" customWidth="1"/>
  </cols>
  <sheetData>
    <row r="1" spans="2:16" ht="15" thickBot="1" x14ac:dyDescent="0.4"/>
    <row r="2" spans="2:16" ht="18.5" x14ac:dyDescent="0.35">
      <c r="B2" s="106" t="s">
        <v>139</v>
      </c>
      <c r="C2" s="107"/>
      <c r="E2" s="106" t="s">
        <v>139</v>
      </c>
      <c r="F2" s="107"/>
    </row>
    <row r="3" spans="2:16" ht="14.5" customHeight="1" x14ac:dyDescent="0.35">
      <c r="B3" s="104" t="s">
        <v>290</v>
      </c>
      <c r="C3" s="42" t="s">
        <v>65</v>
      </c>
      <c r="E3" s="104" t="s">
        <v>169</v>
      </c>
      <c r="F3" s="42" t="s">
        <v>65</v>
      </c>
      <c r="P3" t="s">
        <v>292</v>
      </c>
    </row>
    <row r="4" spans="2:16" ht="14.5" customHeight="1" x14ac:dyDescent="0.35">
      <c r="B4" s="105"/>
      <c r="C4" s="43" t="s">
        <v>66</v>
      </c>
      <c r="E4" s="105"/>
      <c r="F4" s="43" t="s">
        <v>66</v>
      </c>
    </row>
    <row r="5" spans="2:16" ht="14.5" customHeight="1" x14ac:dyDescent="0.35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E5" s="44" t="s">
        <v>67</v>
      </c>
      <c r="F5" s="101">
        <v>61294659.022799999</v>
      </c>
    </row>
    <row r="6" spans="2:16" x14ac:dyDescent="0.35">
      <c r="B6" s="46" t="s">
        <v>288</v>
      </c>
      <c r="C6" s="45">
        <f>SUMIF(RicaviBudget!$H:$H,"MP",RicaviBudget!$G:$G)</f>
        <v>196584.24189999999</v>
      </c>
      <c r="E6" s="46" t="s">
        <v>288</v>
      </c>
      <c r="F6" s="45">
        <v>528226.62545000005</v>
      </c>
    </row>
    <row r="7" spans="2:16" x14ac:dyDescent="0.35">
      <c r="B7" s="44" t="s">
        <v>289</v>
      </c>
      <c r="C7" s="45">
        <f>SUMIF(RicaviBudget!$H:$H,"PCL",RicaviBudget!$G:$G)</f>
        <v>2489618.9618799998</v>
      </c>
      <c r="E7" s="44" t="s">
        <v>289</v>
      </c>
      <c r="F7" s="45">
        <v>1877590.3519999997</v>
      </c>
    </row>
    <row r="8" spans="2:16" x14ac:dyDescent="0.35">
      <c r="B8" s="44" t="s">
        <v>68</v>
      </c>
      <c r="C8" s="89">
        <v>120000</v>
      </c>
      <c r="E8" s="44" t="s">
        <v>68</v>
      </c>
      <c r="F8" s="89">
        <v>120000</v>
      </c>
    </row>
    <row r="9" spans="2:16" x14ac:dyDescent="0.35">
      <c r="B9" s="44" t="s">
        <v>69</v>
      </c>
      <c r="C9" s="89">
        <v>500000</v>
      </c>
      <c r="E9" s="44" t="s">
        <v>69</v>
      </c>
      <c r="F9" s="89">
        <v>500000</v>
      </c>
    </row>
    <row r="10" spans="2:16" x14ac:dyDescent="0.35">
      <c r="B10" s="47" t="s">
        <v>70</v>
      </c>
      <c r="C10" s="48">
        <f>+SUM(C5:C9)</f>
        <v>71664752.222306475</v>
      </c>
      <c r="E10" s="47" t="s">
        <v>70</v>
      </c>
      <c r="F10" s="48">
        <v>64320476.000249997</v>
      </c>
      <c r="P10" s="102" t="s">
        <v>291</v>
      </c>
    </row>
    <row r="11" spans="2:16" x14ac:dyDescent="0.35">
      <c r="B11" s="44" t="s">
        <v>71</v>
      </c>
      <c r="C11" s="45" cm="1">
        <f t="array" ref="C11">SUM(RicaviBudget!D3:D63 * RicaviBudget!F3:F63)</f>
        <v>52760560.896493942</v>
      </c>
      <c r="E11" s="44" t="s">
        <v>71</v>
      </c>
      <c r="F11" s="45">
        <v>-49370805.517265007</v>
      </c>
    </row>
    <row r="12" spans="2:16" x14ac:dyDescent="0.35">
      <c r="B12" s="44" t="s">
        <v>72</v>
      </c>
      <c r="C12" s="90">
        <v>0</v>
      </c>
      <c r="E12" s="44" t="s">
        <v>72</v>
      </c>
      <c r="F12" s="90">
        <v>2500000</v>
      </c>
    </row>
    <row r="13" spans="2:16" x14ac:dyDescent="0.35">
      <c r="B13" s="47" t="s">
        <v>73</v>
      </c>
      <c r="C13" s="48">
        <f>+C11+C12</f>
        <v>52760560.896493942</v>
      </c>
      <c r="E13" s="47" t="s">
        <v>73</v>
      </c>
      <c r="F13" s="48">
        <v>-46870805.517265007</v>
      </c>
    </row>
    <row r="14" spans="2:16" x14ac:dyDescent="0.35">
      <c r="B14" s="44" t="s">
        <v>74</v>
      </c>
      <c r="C14" s="45">
        <f>VariableCostsBudget!G9+VariableCostsBudget!G10</f>
        <v>845120.63826266082</v>
      </c>
      <c r="E14" s="44" t="s">
        <v>74</v>
      </c>
      <c r="F14" s="45">
        <v>-4152707.4956527753</v>
      </c>
    </row>
    <row r="15" spans="2:16" x14ac:dyDescent="0.35">
      <c r="B15" s="44" t="s">
        <v>75</v>
      </c>
      <c r="C15" s="45">
        <f>VariableCostsBudget!G11</f>
        <v>153750</v>
      </c>
      <c r="E15" s="44" t="s">
        <v>75</v>
      </c>
      <c r="F15" s="45">
        <v>-175000</v>
      </c>
    </row>
    <row r="16" spans="2:16" x14ac:dyDescent="0.35">
      <c r="B16" s="44" t="s">
        <v>76</v>
      </c>
      <c r="C16" s="45">
        <f>VariableCostsBudget!G12</f>
        <v>449211.74630400003</v>
      </c>
      <c r="E16" s="44" t="s">
        <v>76</v>
      </c>
      <c r="F16" s="45">
        <v>-519959.9495168</v>
      </c>
    </row>
    <row r="17" spans="2:7" x14ac:dyDescent="0.35">
      <c r="B17" s="47" t="s">
        <v>77</v>
      </c>
      <c r="C17" s="48">
        <f>SUM(C14:C16)</f>
        <v>1448082.384566661</v>
      </c>
      <c r="E17" s="47" t="s">
        <v>77</v>
      </c>
      <c r="F17" s="48">
        <v>-4847667.4451695755</v>
      </c>
    </row>
    <row r="18" spans="2:7" x14ac:dyDescent="0.35">
      <c r="B18" s="44" t="s">
        <v>78</v>
      </c>
      <c r="C18" s="45">
        <f>VariableCostsBudget!G13</f>
        <v>1471815.2299680002</v>
      </c>
      <c r="E18" s="44" t="s">
        <v>78</v>
      </c>
      <c r="F18" s="45">
        <v>-1000000</v>
      </c>
    </row>
    <row r="19" spans="2:7" x14ac:dyDescent="0.35">
      <c r="B19" s="44" t="s">
        <v>79</v>
      </c>
      <c r="C19" s="45">
        <f>VariableCostsBudget!G14+VariableCostsBudget!G15</f>
        <v>1432730.5217157288</v>
      </c>
      <c r="E19" s="44" t="s">
        <v>79</v>
      </c>
      <c r="F19" s="45">
        <v>-550000</v>
      </c>
    </row>
    <row r="20" spans="2:7" ht="15" thickBot="1" x14ac:dyDescent="0.4">
      <c r="B20" s="47" t="s">
        <v>80</v>
      </c>
      <c r="C20" s="48">
        <f>SUM(C18:C19)</f>
        <v>2904545.7516837288</v>
      </c>
      <c r="E20" s="47" t="s">
        <v>80</v>
      </c>
      <c r="F20" s="48">
        <v>-1550000</v>
      </c>
    </row>
    <row r="21" spans="2:7" ht="15" thickBot="1" x14ac:dyDescent="0.4">
      <c r="B21" s="49" t="s">
        <v>81</v>
      </c>
      <c r="C21" s="50">
        <f>+C10-C13-C17-C20</f>
        <v>14551563.189562144</v>
      </c>
      <c r="E21" s="49" t="s">
        <v>81</v>
      </c>
      <c r="F21" s="50">
        <v>11052003.037815414</v>
      </c>
    </row>
    <row r="22" spans="2:7" x14ac:dyDescent="0.35">
      <c r="B22" s="44" t="s">
        <v>82</v>
      </c>
      <c r="C22" s="45">
        <f>FixedCostsBudget!C3</f>
        <v>5594785.9100000001</v>
      </c>
      <c r="E22" s="44" t="s">
        <v>82</v>
      </c>
      <c r="F22" s="45">
        <v>-5650000</v>
      </c>
    </row>
    <row r="23" spans="2:7" x14ac:dyDescent="0.35">
      <c r="B23" s="44" t="s">
        <v>83</v>
      </c>
      <c r="C23" s="45">
        <f>FixedCostsBudget!C5</f>
        <v>1050000</v>
      </c>
      <c r="E23" s="44" t="s">
        <v>83</v>
      </c>
      <c r="F23" s="45">
        <v>-1100000</v>
      </c>
    </row>
    <row r="24" spans="2:7" x14ac:dyDescent="0.35">
      <c r="B24" s="44" t="s">
        <v>84</v>
      </c>
      <c r="C24" s="45">
        <f>FixedCostsBudget!C7</f>
        <v>307500</v>
      </c>
      <c r="E24" s="44" t="s">
        <v>84</v>
      </c>
      <c r="F24" s="45">
        <v>-305000</v>
      </c>
    </row>
    <row r="25" spans="2:7" x14ac:dyDescent="0.35">
      <c r="B25" s="44" t="s">
        <v>85</v>
      </c>
      <c r="C25" s="45">
        <f>FixedCostsBudget!C9</f>
        <v>151700</v>
      </c>
      <c r="E25" s="44" t="s">
        <v>85</v>
      </c>
      <c r="F25" s="45">
        <v>-145000</v>
      </c>
    </row>
    <row r="26" spans="2:7" x14ac:dyDescent="0.35">
      <c r="B26" s="44" t="s">
        <v>86</v>
      </c>
      <c r="C26" s="45">
        <f>FixedCostsBudget!C11</f>
        <v>309550</v>
      </c>
      <c r="E26" s="44" t="s">
        <v>86</v>
      </c>
      <c r="F26" s="45">
        <v>-307000</v>
      </c>
    </row>
    <row r="27" spans="2:7" x14ac:dyDescent="0.35">
      <c r="B27" s="44" t="s">
        <v>87</v>
      </c>
      <c r="C27" s="45">
        <f>FixedCostsBudget!C13</f>
        <v>212174.99999999997</v>
      </c>
      <c r="E27" s="44" t="s">
        <v>87</v>
      </c>
      <c r="F27" s="45">
        <v>-209500</v>
      </c>
    </row>
    <row r="28" spans="2:7" x14ac:dyDescent="0.35">
      <c r="B28" s="47" t="s">
        <v>88</v>
      </c>
      <c r="C28" s="48">
        <f>SUM(C22:C27)</f>
        <v>7625710.9100000001</v>
      </c>
      <c r="E28" s="47" t="s">
        <v>88</v>
      </c>
      <c r="F28" s="103">
        <v>-7716500</v>
      </c>
    </row>
    <row r="29" spans="2:7" x14ac:dyDescent="0.35">
      <c r="B29" s="44" t="s">
        <v>89</v>
      </c>
      <c r="C29" s="45">
        <f>FixedCostsBudget!C18</f>
        <v>563750</v>
      </c>
      <c r="E29" s="44" t="s">
        <v>89</v>
      </c>
      <c r="F29" s="45">
        <v>-556000</v>
      </c>
      <c r="G29" s="102"/>
    </row>
    <row r="30" spans="2:7" x14ac:dyDescent="0.35">
      <c r="B30" s="44" t="s">
        <v>90</v>
      </c>
      <c r="C30" s="45">
        <f>FixedCostsBudget!C20</f>
        <v>307500</v>
      </c>
      <c r="E30" s="44" t="s">
        <v>90</v>
      </c>
      <c r="F30" s="45">
        <v>-297000</v>
      </c>
    </row>
    <row r="31" spans="2:7" x14ac:dyDescent="0.35">
      <c r="B31" s="44" t="s">
        <v>91</v>
      </c>
      <c r="C31" s="45">
        <f>FixedCostsBudget!C22</f>
        <v>102499.99999999999</v>
      </c>
      <c r="E31" s="44" t="s">
        <v>91</v>
      </c>
      <c r="F31" s="45">
        <v>-98000</v>
      </c>
    </row>
    <row r="32" spans="2:7" ht="15" thickBot="1" x14ac:dyDescent="0.4">
      <c r="B32" s="47" t="s">
        <v>92</v>
      </c>
      <c r="C32" s="48">
        <f>SUM(C29:C31)</f>
        <v>973750</v>
      </c>
      <c r="E32" s="47" t="s">
        <v>92</v>
      </c>
      <c r="F32" s="48">
        <v>-951000</v>
      </c>
    </row>
    <row r="33" spans="2:6" ht="15" thickBot="1" x14ac:dyDescent="0.4">
      <c r="B33" s="51" t="s">
        <v>93</v>
      </c>
      <c r="C33" s="52">
        <f>+C21-C28-C32</f>
        <v>5952102.2795621436</v>
      </c>
      <c r="E33" s="51" t="s">
        <v>93</v>
      </c>
      <c r="F33" s="52">
        <v>2384503.0378154144</v>
      </c>
    </row>
    <row r="34" spans="2:6" x14ac:dyDescent="0.35">
      <c r="B34" s="46" t="s">
        <v>94</v>
      </c>
      <c r="C34" s="45">
        <f>OthersBudget!C3</f>
        <v>200000</v>
      </c>
      <c r="E34" s="46" t="s">
        <v>94</v>
      </c>
      <c r="F34" s="45">
        <v>-190000</v>
      </c>
    </row>
    <row r="35" spans="2:6" x14ac:dyDescent="0.35">
      <c r="B35" s="44" t="s">
        <v>95</v>
      </c>
      <c r="C35" s="45">
        <f>OthersBudget!C5</f>
        <v>796875</v>
      </c>
      <c r="E35" s="44" t="s">
        <v>95</v>
      </c>
      <c r="F35" s="45">
        <v>-810000</v>
      </c>
    </row>
    <row r="36" spans="2:6" x14ac:dyDescent="0.35">
      <c r="B36" s="44" t="s">
        <v>96</v>
      </c>
      <c r="C36" s="45">
        <f>OthersBudget!C7</f>
        <v>0</v>
      </c>
      <c r="E36" s="44" t="s">
        <v>96</v>
      </c>
      <c r="F36" s="45">
        <v>-25000</v>
      </c>
    </row>
    <row r="37" spans="2:6" ht="15" thickBot="1" x14ac:dyDescent="0.4">
      <c r="B37" s="47" t="s">
        <v>97</v>
      </c>
      <c r="C37" s="48">
        <f>SUM(C34:C36)</f>
        <v>996875</v>
      </c>
      <c r="E37" s="47" t="s">
        <v>97</v>
      </c>
      <c r="F37" s="48">
        <v>-1025000</v>
      </c>
    </row>
    <row r="38" spans="2:6" ht="15" thickBot="1" x14ac:dyDescent="0.4">
      <c r="B38" s="49" t="s">
        <v>98</v>
      </c>
      <c r="C38" s="50">
        <f>+C33-C37</f>
        <v>4955227.2795621436</v>
      </c>
      <c r="E38" s="49" t="s">
        <v>98</v>
      </c>
      <c r="F38" s="50">
        <v>1359503.0378154144</v>
      </c>
    </row>
    <row r="39" spans="2:6" x14ac:dyDescent="0.35">
      <c r="B39" s="44" t="s">
        <v>99</v>
      </c>
      <c r="C39" s="45">
        <f>-OthersBudget!C9</f>
        <v>-227633.03999999998</v>
      </c>
      <c r="E39" s="44" t="s">
        <v>99</v>
      </c>
      <c r="F39" s="45">
        <v>-140133.03999999998</v>
      </c>
    </row>
    <row r="40" spans="2:6" x14ac:dyDescent="0.35">
      <c r="B40" s="44" t="s">
        <v>100</v>
      </c>
      <c r="C40" s="45">
        <f>OthersBudget!C11</f>
        <v>0</v>
      </c>
      <c r="E40" s="44" t="s">
        <v>100</v>
      </c>
      <c r="F40" s="45">
        <v>3543.6200000000003</v>
      </c>
    </row>
    <row r="41" spans="2:6" ht="15" thickBot="1" x14ac:dyDescent="0.4">
      <c r="B41" s="47" t="s">
        <v>101</v>
      </c>
      <c r="C41" s="48">
        <f>SUM(C39:C40)</f>
        <v>-227633.03999999998</v>
      </c>
      <c r="E41" s="47" t="s">
        <v>101</v>
      </c>
      <c r="F41" s="48">
        <v>-136589.41999999998</v>
      </c>
    </row>
    <row r="42" spans="2:6" ht="15" thickBot="1" x14ac:dyDescent="0.4">
      <c r="B42" s="49" t="s">
        <v>102</v>
      </c>
      <c r="C42" s="50">
        <f>+C38+C41</f>
        <v>4727594.2395621436</v>
      </c>
      <c r="E42" s="49" t="s">
        <v>102</v>
      </c>
      <c r="F42" s="50">
        <v>1222913.6178154144</v>
      </c>
    </row>
    <row r="43" spans="2:6" x14ac:dyDescent="0.35">
      <c r="B43" s="44" t="s">
        <v>103</v>
      </c>
      <c r="C43" s="45">
        <f>-OthersBudget!C13</f>
        <v>0</v>
      </c>
      <c r="E43" s="44" t="s">
        <v>103</v>
      </c>
      <c r="F43" s="45">
        <v>-130503.97</v>
      </c>
    </row>
    <row r="44" spans="2:6" x14ac:dyDescent="0.35">
      <c r="B44" s="44" t="s">
        <v>104</v>
      </c>
      <c r="C44" s="45">
        <f>OthersBudget!C15</f>
        <v>0</v>
      </c>
      <c r="E44" s="44" t="s">
        <v>104</v>
      </c>
      <c r="F44" s="45">
        <v>0</v>
      </c>
    </row>
    <row r="45" spans="2:6" x14ac:dyDescent="0.35">
      <c r="B45" s="44" t="s">
        <v>105</v>
      </c>
      <c r="C45" s="45">
        <f>OthersBudget!C17</f>
        <v>0</v>
      </c>
      <c r="E45" s="44" t="s">
        <v>105</v>
      </c>
      <c r="F45" s="45">
        <v>0</v>
      </c>
    </row>
    <row r="46" spans="2:6" ht="15" thickBot="1" x14ac:dyDescent="0.4">
      <c r="B46" s="47" t="s">
        <v>106</v>
      </c>
      <c r="C46" s="48">
        <f>SUM(C43:C45)</f>
        <v>0</v>
      </c>
      <c r="E46" s="47" t="s">
        <v>106</v>
      </c>
      <c r="F46" s="48">
        <v>-130503.97</v>
      </c>
    </row>
    <row r="47" spans="2:6" ht="15" thickBot="1" x14ac:dyDescent="0.4">
      <c r="B47" s="49" t="s">
        <v>107</v>
      </c>
      <c r="C47" s="50">
        <f>+C46+C42</f>
        <v>4727594.2395621436</v>
      </c>
      <c r="E47" s="49" t="s">
        <v>107</v>
      </c>
      <c r="F47" s="50">
        <v>1092409.6478154145</v>
      </c>
    </row>
    <row r="48" spans="2:6" ht="15" thickBot="1" x14ac:dyDescent="0.4">
      <c r="B48" s="44" t="s">
        <v>108</v>
      </c>
      <c r="C48" s="45">
        <f>OthersBudget!C19</f>
        <v>1418278.2718686431</v>
      </c>
      <c r="E48" s="44" t="s">
        <v>108</v>
      </c>
      <c r="F48" s="45">
        <v>-327722.8943446154</v>
      </c>
    </row>
    <row r="49" spans="2:6" ht="15" thickBot="1" x14ac:dyDescent="0.4">
      <c r="B49" s="49" t="s">
        <v>109</v>
      </c>
      <c r="C49" s="50">
        <f>C47-C48</f>
        <v>3309315.9676935002</v>
      </c>
      <c r="E49" s="49" t="s">
        <v>109</v>
      </c>
      <c r="F49" s="50">
        <v>764686.75347079907</v>
      </c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MICHELE VITALI</cp:lastModifiedBy>
  <dcterms:created xsi:type="dcterms:W3CDTF">2015-06-05T18:19:34Z</dcterms:created>
  <dcterms:modified xsi:type="dcterms:W3CDTF">2025-12-09T13:00:35Z</dcterms:modified>
</cp:coreProperties>
</file>